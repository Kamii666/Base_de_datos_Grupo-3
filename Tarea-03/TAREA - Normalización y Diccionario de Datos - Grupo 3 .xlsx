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-DATOS-Datos Nuevos" sheetId="1" r:id="rId4"/>
    <sheet state="visible" name="2.- ENTIDADES" sheetId="2" r:id="rId5"/>
    <sheet state="visible" name="3.- RELACIONES" sheetId="3" r:id="rId6"/>
    <sheet state="visible" name="4.-DIAGRAMA ER" sheetId="4" r:id="rId7"/>
    <sheet state="visible" name="5.1.-Normaiza-1FN" sheetId="5" r:id="rId8"/>
    <sheet state="visible" name="5.1.1.-Normaiza-1FN" sheetId="6" r:id="rId9"/>
    <sheet state="visible" name="5.2.-Normaliza-2FN" sheetId="7" r:id="rId10"/>
    <sheet state="visible" name="5.3.-Normaliza-3FN" sheetId="8" r:id="rId11"/>
    <sheet state="visible" name="6.-DICCIONARIO DATOS" sheetId="9" r:id="rId12"/>
  </sheets>
  <definedNames/>
  <calcPr/>
</workbook>
</file>

<file path=xl/sharedStrings.xml><?xml version="1.0" encoding="utf-8"?>
<sst xmlns="http://schemas.openxmlformats.org/spreadsheetml/2006/main" count="838" uniqueCount="381">
  <si>
    <t xml:space="preserve">Grupo Nro. </t>
  </si>
  <si>
    <t>#3</t>
  </si>
  <si>
    <t>Integrante 1</t>
  </si>
  <si>
    <t>Juan Kamilo Algarin Gomez</t>
  </si>
  <si>
    <t>Integrante 2</t>
  </si>
  <si>
    <t>Jhoneider David Vergara Cruz</t>
  </si>
  <si>
    <t>Integrante 3</t>
  </si>
  <si>
    <t>Duban Alexis Zapata Holguin</t>
  </si>
  <si>
    <t>Integrante 4</t>
  </si>
  <si>
    <t>DATOS - Requerimientos de la Secretaría de Salud</t>
  </si>
  <si>
    <t>#</t>
  </si>
  <si>
    <t>Inventario de Datos</t>
  </si>
  <si>
    <t>Valor Ficticios</t>
  </si>
  <si>
    <t>Cédula paciente</t>
  </si>
  <si>
    <t>EPS</t>
  </si>
  <si>
    <t>Código 22, SURA</t>
  </si>
  <si>
    <t>Nombre paciente</t>
  </si>
  <si>
    <t>Jaime Ernesto Soto Urdaneta</t>
  </si>
  <si>
    <t>fecha de nacimiento</t>
  </si>
  <si>
    <t>edad</t>
  </si>
  <si>
    <t>Lugar de Nacimiento</t>
  </si>
  <si>
    <t>Maracaibo, Venezuela</t>
  </si>
  <si>
    <t>Código Hospital</t>
  </si>
  <si>
    <t>Hospital</t>
  </si>
  <si>
    <t>Hospital "Pablo Tobón",</t>
  </si>
  <si>
    <t>Ubicación hospital</t>
  </si>
  <si>
    <t>Medellín, Colombia</t>
  </si>
  <si>
    <t>Cuarto #1 paciente</t>
  </si>
  <si>
    <t>Piso 4, Cuarto 12</t>
  </si>
  <si>
    <t>Fecha ingreso cuarto #1 Paciente</t>
  </si>
  <si>
    <t>Cuarto #2 paciente</t>
  </si>
  <si>
    <t>Piso 5, Cuarto 12</t>
  </si>
  <si>
    <t>Fecha ingreso cuarto #2 Paciente</t>
  </si>
  <si>
    <t>Fecha de alta paciente (salida)</t>
  </si>
  <si>
    <t>Tarjetas de visita disponibles</t>
  </si>
  <si>
    <t>Tarjetas de visita utilizadas</t>
  </si>
  <si>
    <t>Fechas de visita</t>
  </si>
  <si>
    <t>03-03-2025, 15-03-2025, 19-03-2025</t>
  </si>
  <si>
    <t>Nombre visitantes en las fechas de visita</t>
  </si>
  <si>
    <t>Luis Ramos, Rogelio Hincapié, Raúl Piedrahita</t>
  </si>
  <si>
    <t>Código Médico #1</t>
  </si>
  <si>
    <t>Nombre médico # 2</t>
  </si>
  <si>
    <t>Pedro Pérez</t>
  </si>
  <si>
    <t>Código Médico #2</t>
  </si>
  <si>
    <t>Nombre médico # 3</t>
  </si>
  <si>
    <t>Julián Castro</t>
  </si>
  <si>
    <t>Espacialidad Médico #1</t>
  </si>
  <si>
    <t>medicina interna</t>
  </si>
  <si>
    <t>Especialidad Médico #2</t>
  </si>
  <si>
    <t>pediatría</t>
  </si>
  <si>
    <t>Fecha visita médico #1</t>
  </si>
  <si>
    <t>Fecha visita médico #2</t>
  </si>
  <si>
    <t>Diagnóstico médico #1</t>
  </si>
  <si>
    <t>101, Viruela</t>
  </si>
  <si>
    <t>Diagnóstico médico #2</t>
  </si>
  <si>
    <t>203, Neumonía</t>
  </si>
  <si>
    <t xml:space="preserve">Teléfono 1 de contacto paciente </t>
  </si>
  <si>
    <t>317-2213434</t>
  </si>
  <si>
    <t>Teléfono 2 de contacto paciente</t>
  </si>
  <si>
    <t>317-2222222</t>
  </si>
  <si>
    <t>Teléfono de contacto médico #1</t>
  </si>
  <si>
    <t>319-3333333</t>
  </si>
  <si>
    <t>Teléfono de contacto médico #2</t>
  </si>
  <si>
    <t>319-5555555</t>
  </si>
  <si>
    <t>Agregar Campos</t>
  </si>
  <si>
    <t>Completar Valor del campo</t>
  </si>
  <si>
    <t>Consultorio medico #1</t>
  </si>
  <si>
    <t>piso 2, consultorio 3</t>
  </si>
  <si>
    <r>
      <rPr>
        <rFont val="Courier New"/>
        <b/>
        <i/>
        <color rgb="FF980000"/>
        <sz val="17.0"/>
      </rPr>
      <t xml:space="preserve">ATENCIÓN:
</t>
    </r>
    <r>
      <rPr>
        <rFont val="Courier New"/>
        <b/>
        <i/>
        <color rgb="FF000000"/>
        <sz val="17.0"/>
      </rPr>
      <t>Deben formar parte de un mínimo de tres (3) entidades nuevas</t>
    </r>
  </si>
  <si>
    <t>Consultorio medico #2</t>
  </si>
  <si>
    <t>piso 3, consultorio 2</t>
  </si>
  <si>
    <t>Nombre enfermera #1</t>
  </si>
  <si>
    <t>Lupita Flores</t>
  </si>
  <si>
    <t>Nombre enfermera #2</t>
  </si>
  <si>
    <t>Celeste Gonzales</t>
  </si>
  <si>
    <t>Turno enfermera #1</t>
  </si>
  <si>
    <t>día</t>
  </si>
  <si>
    <t>Turno enfermera #2</t>
  </si>
  <si>
    <t>noche</t>
  </si>
  <si>
    <t>Tipo de sangre paciente</t>
  </si>
  <si>
    <t>grupo O, factor positivo</t>
  </si>
  <si>
    <t>Medicamento paciente</t>
  </si>
  <si>
    <t>Tecovirimat, 200mg</t>
  </si>
  <si>
    <t>ENTIDADES</t>
  </si>
  <si>
    <t>Entidad</t>
  </si>
  <si>
    <t>Descripción Entidad</t>
  </si>
  <si>
    <t>Observaciones</t>
  </si>
  <si>
    <t xml:space="preserve">paciente </t>
  </si>
  <si>
    <t>Persona que recibe atencion medica y es el centro del sistema. Almacena su informacion demografica, de contacto y de aseguramiento</t>
  </si>
  <si>
    <t xml:space="preserve">Es la entidad central del modelo. Toda la informacion principal se relaciona con el paciente </t>
  </si>
  <si>
    <t>hospital</t>
  </si>
  <si>
    <t>Centro de slaud donde el paciente es hospitalizado, Contiene datos como su codigo y nombre.</t>
  </si>
  <si>
    <t xml:space="preserve">Entidad principal que agrupa plantas, camas y consultorios </t>
  </si>
  <si>
    <t>planta</t>
  </si>
  <si>
    <t xml:space="preserve">Nivel o piso especifico dentro de un hospital. Se identifica por un numero, nomber y cantidad de camas que posee. </t>
  </si>
  <si>
    <t xml:space="preserve">Cada planta pertenece a un unico hospital y contiene multiples camas. </t>
  </si>
  <si>
    <t>cama</t>
  </si>
  <si>
    <t xml:space="preserve">Cama fisica ubicada en una planta a la que se asigna un paciente. Se numera correlativamente dentro de cada planta. </t>
  </si>
  <si>
    <t xml:space="preserve">Se numera de forma unica por cada planta, no por hospital. </t>
  </si>
  <si>
    <t>visitante</t>
  </si>
  <si>
    <t xml:space="preserve">Persona autorizada para visitar a un paciente durante su estancia hospitalaria. </t>
  </si>
  <si>
    <t>Se relaciona con el paciente a traves de una tarjeta_visita.</t>
  </si>
  <si>
    <t>médico</t>
  </si>
  <si>
    <t>Profesional de la salud encargado de atender al paciente. Se identifica por su codigo, nombre y apellidos.</t>
  </si>
  <si>
    <t>Puede atender a multiples pacientes y tratar diferentes diagnosticos.</t>
  </si>
  <si>
    <t>consultorio</t>
  </si>
  <si>
    <t>Espacio físico dentro del hospital donde el médico realiza las consultas.</t>
  </si>
  <si>
    <t xml:space="preserve">Entidad nueva. Un medico puede tener asignado un consultorio para sus consultas </t>
  </si>
  <si>
    <t>eps</t>
  </si>
  <si>
    <t>Entidad Promotora de Salud a la que pertenece el paciente.</t>
  </si>
  <si>
    <t>Entidad que provee el seguro de salud. Cada paciente esta afiliado a una EPS.</t>
  </si>
  <si>
    <t>enfermera</t>
  </si>
  <si>
    <t xml:space="preserve">Profesional de enfermeria que asiste en el cuidado del paciente y la administracion de tratamientos. </t>
  </si>
  <si>
    <t xml:space="preserve">Entidad nueva. Asiste a los medicos y atiende directamente a los pacientes. </t>
  </si>
  <si>
    <t>medicamento</t>
  </si>
  <si>
    <t xml:space="preserve">Farmaco o sustancias utilizada para el tratamiento de un diagnostico. </t>
  </si>
  <si>
    <t xml:space="preserve">Entidad nueva que funciona como un catalogo de los farmacos disponibles. </t>
  </si>
  <si>
    <t>diagnostico</t>
  </si>
  <si>
    <t xml:space="preserve">Condicion o enfermedad identificada por un medico. Se define por un codigo y una descripcion </t>
  </si>
  <si>
    <t>Un diagnostico puede ser tratado por varios medicos y un medico puede tratar varios diagnosticos.</t>
  </si>
  <si>
    <t>tarjeta_visita</t>
  </si>
  <si>
    <t xml:space="preserve">Documento que autoriza la visita a un paciente. Se define por un numero y el horario permitido. </t>
  </si>
  <si>
    <t>Es valida para visitar a un unico paciente</t>
  </si>
  <si>
    <t>RELACIONES</t>
  </si>
  <si>
    <t>Nombre Relación</t>
  </si>
  <si>
    <t>Descripción</t>
  </si>
  <si>
    <t>Entidades</t>
  </si>
  <si>
    <t>Cardinalidades</t>
  </si>
  <si>
    <t xml:space="preserve">hospital_tiene_plantas	</t>
  </si>
  <si>
    <t xml:space="preserve">Un hospital tiene una o muchas plantas, y cada planta pertenece a un único hospital.
</t>
  </si>
  <si>
    <t>Izquierda</t>
  </si>
  <si>
    <t>Izq/Der</t>
  </si>
  <si>
    <t>1:N</t>
  </si>
  <si>
    <t>Derecha</t>
  </si>
  <si>
    <t>Der/Izq</t>
  </si>
  <si>
    <t xml:space="preserve">planta_contiene_camas	</t>
  </si>
  <si>
    <t xml:space="preserve">Una planta contiene una o muchas camas, y cada cama está ubicada en una única planta.
</t>
  </si>
  <si>
    <t xml:space="preserve">paciente_se_asigna_cama	</t>
  </si>
  <si>
    <t xml:space="preserve">Un paciente ocupa al menos una y muchas camas, y una cama ha sido ocupada por al menos un paciente.
</t>
  </si>
  <si>
    <t>paciente</t>
  </si>
  <si>
    <t>paciente_recibe_tarjetas</t>
  </si>
  <si>
    <t xml:space="preserve">Un paciente recibe al menos una y muchas tarjetas, y cada tarjeta pertenece a un único paciente.
</t>
  </si>
  <si>
    <t>Paciente</t>
  </si>
  <si>
    <t>1:1</t>
  </si>
  <si>
    <t>Tarjeta_visita</t>
  </si>
  <si>
    <t xml:space="preserve">medico_atiende_paciente	</t>
  </si>
  <si>
    <t xml:space="preserve">Un médico atiende a uno o muchos pacientes, y un paciente es atendido por al menos un médico.
</t>
  </si>
  <si>
    <t>medico</t>
  </si>
  <si>
    <t xml:space="preserve">paciente_tiene_diagnostico	</t>
  </si>
  <si>
    <t xml:space="preserve">Un paciente tiene al menos un diagnóstico, y un diagnóstico ha sido asignado al menos a un paciente.
</t>
  </si>
  <si>
    <t>Medico_trata_diagnostico</t>
  </si>
  <si>
    <t xml:space="preserve">Un médico puede tratar muchos diagnósticos, y un diagnóstico puede ser tratado por muchos médicos.
</t>
  </si>
  <si>
    <t xml:space="preserve">paciente_afiliado_eps	</t>
  </si>
  <si>
    <t xml:space="preserve">Una EPS tiene muchos pacientes afiliados, y cada paciente está afiliado a una única EPS.
</t>
  </si>
  <si>
    <t xml:space="preserve">paciente_es_atendido_enfermera	</t>
  </si>
  <si>
    <t xml:space="preserve">Un paciente es atendido por al menos una enfermera, y una enfermera atiende al menos a un paciente.
</t>
  </si>
  <si>
    <t>Diagrama de Entidad - Relación de Chen</t>
  </si>
  <si>
    <t>PRIMERA FORMA NORMAL (1FN</t>
  </si>
  <si>
    <t>Pasos</t>
  </si>
  <si>
    <t>Descripción de la acción</t>
  </si>
  <si>
    <t>Tabla original  (pestaño DATOS)</t>
  </si>
  <si>
    <t>Información de los REGISTROS (Filas) - Colocar datos ficticios</t>
  </si>
  <si>
    <t>Datos</t>
  </si>
  <si>
    <t>Nombre dato</t>
  </si>
  <si>
    <t>Descripción dato</t>
  </si>
  <si>
    <t>Fila 1 - Valores</t>
  </si>
  <si>
    <t>Fila 2 - Valores</t>
  </si>
  <si>
    <t>Fila 3 - Valores</t>
  </si>
  <si>
    <t>Fila 4 - Valores</t>
  </si>
  <si>
    <t>Fila 5 - Valores</t>
  </si>
  <si>
    <t>Dato 1</t>
  </si>
  <si>
    <t>Cedula paciente</t>
  </si>
  <si>
    <t>Dato 2</t>
  </si>
  <si>
    <t>Jaime Ernesto</t>
  </si>
  <si>
    <t>Julio</t>
  </si>
  <si>
    <t>Maria</t>
  </si>
  <si>
    <t>Carlos</t>
  </si>
  <si>
    <t>Lucia</t>
  </si>
  <si>
    <t>Dato 3</t>
  </si>
  <si>
    <t>Apellido paciente</t>
  </si>
  <si>
    <t>Soto Urdaneta</t>
  </si>
  <si>
    <t>Luna</t>
  </si>
  <si>
    <t>Peña</t>
  </si>
  <si>
    <t>Vera</t>
  </si>
  <si>
    <t>Fernandez</t>
  </si>
  <si>
    <t>Dato 4</t>
  </si>
  <si>
    <t>Eps</t>
  </si>
  <si>
    <t>Sura</t>
  </si>
  <si>
    <t>Coomeva</t>
  </si>
  <si>
    <t>Sanitas</t>
  </si>
  <si>
    <t>Dato 5</t>
  </si>
  <si>
    <t>Hospital "Pablo Tobón"</t>
  </si>
  <si>
    <t>Hospital San Vicente</t>
  </si>
  <si>
    <t>Hospital La María</t>
  </si>
  <si>
    <t>Dato 6</t>
  </si>
  <si>
    <t>Cuarto paciente</t>
  </si>
  <si>
    <t>Piso 4, Cama 12</t>
  </si>
  <si>
    <t>Piso 2, Cama 08</t>
  </si>
  <si>
    <t>Piso 4, Cama 15</t>
  </si>
  <si>
    <t>Piso 1, Cama 02</t>
  </si>
  <si>
    <t>Dato 7</t>
  </si>
  <si>
    <t>Fecha ingreso</t>
  </si>
  <si>
    <t>Dato 8</t>
  </si>
  <si>
    <t>Nombre Medico #1</t>
  </si>
  <si>
    <t>Pedro Sanchez</t>
  </si>
  <si>
    <t>Ana Rojas</t>
  </si>
  <si>
    <t>Oscar Rios</t>
  </si>
  <si>
    <t>Dato 9</t>
  </si>
  <si>
    <t>Especialidad Medico #1</t>
  </si>
  <si>
    <t>Medicina Interna</t>
  </si>
  <si>
    <t>Pediatría</t>
  </si>
  <si>
    <t>Ortopedia</t>
  </si>
  <si>
    <t>Pediatria</t>
  </si>
  <si>
    <t>Dato 10</t>
  </si>
  <si>
    <t>Nombre Medico #2</t>
  </si>
  <si>
    <t>Julian Castro</t>
  </si>
  <si>
    <t>Dato 11</t>
  </si>
  <si>
    <t>Especialidad Medico #2</t>
  </si>
  <si>
    <t>Neumología</t>
  </si>
  <si>
    <t>Dato 12</t>
  </si>
  <si>
    <t>Diagnostico</t>
  </si>
  <si>
    <t>Viruela, Neumonía</t>
  </si>
  <si>
    <t>Gripe</t>
  </si>
  <si>
    <t>Viruela</t>
  </si>
  <si>
    <t>Fractura de Tobillo</t>
  </si>
  <si>
    <t>Asma</t>
  </si>
  <si>
    <t>Dato 13</t>
  </si>
  <si>
    <t>Nombre Visitante</t>
  </si>
  <si>
    <t>Luis Ramos, Rogelio Hincapié</t>
  </si>
  <si>
    <t>Ana</t>
  </si>
  <si>
    <t>Juan Peña, Sara Peña</t>
  </si>
  <si>
    <t>Marta Fernandez</t>
  </si>
  <si>
    <t>Dato 14</t>
  </si>
  <si>
    <t>Fecha de Visitante</t>
  </si>
  <si>
    <t>03-03-2025, 15-03-2025</t>
  </si>
  <si>
    <t>09-03-2025, 11-03-2025</t>
  </si>
  <si>
    <t>Dato 15</t>
  </si>
  <si>
    <t>Dato 16</t>
  </si>
  <si>
    <t>Dato 17</t>
  </si>
  <si>
    <t>Dato 18</t>
  </si>
  <si>
    <t>Dato 19</t>
  </si>
  <si>
    <t>Dato 20</t>
  </si>
  <si>
    <t>Dato 21</t>
  </si>
  <si>
    <t>Dato 22</t>
  </si>
  <si>
    <t>Dato 23</t>
  </si>
  <si>
    <t>Dato 24</t>
  </si>
  <si>
    <t>Dato 25</t>
  </si>
  <si>
    <t>Dato 26</t>
  </si>
  <si>
    <t>Dato 27</t>
  </si>
  <si>
    <t>Dato 28</t>
  </si>
  <si>
    <t>Dato 29</t>
  </si>
  <si>
    <t>Dato 30</t>
  </si>
  <si>
    <t>Dato 31</t>
  </si>
  <si>
    <t>Dato 32</t>
  </si>
  <si>
    <t>Dato 33</t>
  </si>
  <si>
    <t>Dato 34</t>
  </si>
  <si>
    <t>Dato 35</t>
  </si>
  <si>
    <t>Dato 36</t>
  </si>
  <si>
    <t>Dato 37</t>
  </si>
  <si>
    <t>Dato 38</t>
  </si>
  <si>
    <t>Dato 39</t>
  </si>
  <si>
    <t>Dato 40</t>
  </si>
  <si>
    <t>|</t>
  </si>
  <si>
    <t>Nombre Paciente</t>
  </si>
  <si>
    <t>Apellido Paciente</t>
  </si>
  <si>
    <t>Cuarto Paciente</t>
  </si>
  <si>
    <t>Nombre Medico</t>
  </si>
  <si>
    <t>Especialidad Medico</t>
  </si>
  <si>
    <t>Fecha visitante</t>
  </si>
  <si>
    <t>Luis Ramos</t>
  </si>
  <si>
    <t>Rogelio Hincapié</t>
  </si>
  <si>
    <t>Neumonía</t>
  </si>
  <si>
    <t>Hopsital San Vicente</t>
  </si>
  <si>
    <t>Juan Peña</t>
  </si>
  <si>
    <t>Sara Peña</t>
  </si>
  <si>
    <t>Hospital La Maria</t>
  </si>
  <si>
    <t>SEGUNDA FORMA NORMAL (2FN)</t>
  </si>
  <si>
    <t>Descripción de las acciones para llegar a 2FN</t>
  </si>
  <si>
    <t>Tablas resultantes</t>
  </si>
  <si>
    <t>Tabla</t>
  </si>
  <si>
    <t>Pacientes</t>
  </si>
  <si>
    <t>Descripción Tabla</t>
  </si>
  <si>
    <t>Almacena la información única y demográfica de cada paciente.</t>
  </si>
  <si>
    <t>Atributo</t>
  </si>
  <si>
    <t>Descripción Atributo</t>
  </si>
  <si>
    <t>Claves</t>
  </si>
  <si>
    <t>Cedula_Paciente</t>
  </si>
  <si>
    <t>Número de identificación único del paciente.</t>
  </si>
  <si>
    <t>Identifica unívocamente a cada paciente.</t>
  </si>
  <si>
    <t>PK</t>
  </si>
  <si>
    <t>Nombre_Paciente</t>
  </si>
  <si>
    <t>Primer nombre del paciente.</t>
  </si>
  <si>
    <t>Apellido_Paciente</t>
  </si>
  <si>
    <t>Apellido del paciente.</t>
  </si>
  <si>
    <t>Entidad Promotora de Salud a la que pertenece.</t>
  </si>
  <si>
    <t>Hospital donde fue ingresado.</t>
  </si>
  <si>
    <t>Cuarto_Paciente</t>
  </si>
  <si>
    <t>Ubicación física del paciente.</t>
  </si>
  <si>
    <t>N</t>
  </si>
  <si>
    <t>Fecha_Ingreso</t>
  </si>
  <si>
    <t>Fecha de admisión al hospital.</t>
  </si>
  <si>
    <t>Medicos</t>
  </si>
  <si>
    <t>Catálogo de los médicos y sus especialidades.</t>
  </si>
  <si>
    <t>Nombre_Medico</t>
  </si>
  <si>
    <t>Nombre completo del médico.</t>
  </si>
  <si>
    <t>Identifica unívocamente a cada médico.</t>
  </si>
  <si>
    <t>Especialidad_medico</t>
  </si>
  <si>
    <t>Especialidad en la que ejerce el médico.</t>
  </si>
  <si>
    <t>Registros</t>
  </si>
  <si>
    <t>Vincula pacientes con médicos, diagnósticos y visitas.</t>
  </si>
  <si>
    <t>Registro_id</t>
  </si>
  <si>
    <t>Identificador único para cada evento registrado.</t>
  </si>
  <si>
    <t>Nueva clave para identificar cada fila.</t>
  </si>
  <si>
    <t>Cedula_paciente</t>
  </si>
  <si>
    <t>Vínculo con la tabla pacientes.</t>
  </si>
  <si>
    <t>Conecta con la tabla pacientes.</t>
  </si>
  <si>
    <t>FK</t>
  </si>
  <si>
    <t>Nombre_medico (FK)</t>
  </si>
  <si>
    <t>Vínculo con la tabla medicos.</t>
  </si>
  <si>
    <t>Conecta con la tabla medicos.</t>
  </si>
  <si>
    <t>Enfermedad o condición identificada.</t>
  </si>
  <si>
    <t>Nombre_visitante</t>
  </si>
  <si>
    <t>Nombre de la persona que visita al paciente.</t>
  </si>
  <si>
    <t>Fecha_visitante</t>
  </si>
  <si>
    <t>Fecha en la que ocurrió la visita.</t>
  </si>
  <si>
    <t>SEGUNDA FORMA NORMAL (3FN)</t>
  </si>
  <si>
    <t>Descripción de las acciones para llegar a 3FN</t>
  </si>
  <si>
    <t>Ubicaciones</t>
  </si>
  <si>
    <t>Catálogo de las ubicaciones físicas (cuartos) y el hospital al que pertenecen.</t>
  </si>
  <si>
    <t>Ubicacion_ID</t>
  </si>
  <si>
    <t>Identificador único para cada cuarto/cama.</t>
  </si>
  <si>
    <t>Nueva clave para eliminar la dependencia transitiva.</t>
  </si>
  <si>
    <t>Hopsital</t>
  </si>
  <si>
    <t>Hospital donde se encuentra el cuarto.</t>
  </si>
  <si>
    <t>Descripción del cuarto (ej: Piso 4, Cama 12).</t>
  </si>
  <si>
    <t>Almacena la información del paciente y lo vincula a su ubicación.</t>
  </si>
  <si>
    <t>Sigue siendo la clave que identifica al paciente.</t>
  </si>
  <si>
    <t>Vínculo con la tabla Ubicaciones.</t>
  </si>
  <si>
    <t>Conecta con la ubicación física del paciente.</t>
  </si>
  <si>
    <t>Catálogo de los médicos y sus especialidades. (Sin cambios desde 2FN).</t>
  </si>
  <si>
    <t>Especialidad_Medico</t>
  </si>
  <si>
    <t>Vincula pacientes con médicos y diagnósticos. (Sin cambios desde 2FN).</t>
  </si>
  <si>
    <t>Registro_ID</t>
  </si>
  <si>
    <t>Vínculo con la tabla Pacientes.</t>
  </si>
  <si>
    <t>Conecta con la tabla Pacientes.</t>
  </si>
  <si>
    <t>Vínculo con la tabla Medicos.</t>
  </si>
  <si>
    <t>Conecta con la tabla Medicos.</t>
  </si>
  <si>
    <t>Nombre_Visitante</t>
  </si>
  <si>
    <t>Fecha_Visitante</t>
  </si>
  <si>
    <t>DICCIONARIO DE DATOS</t>
  </si>
  <si>
    <t>Inventario de Tablas</t>
  </si>
  <si>
    <t xml:space="preserve">Almacena la información única y demográfica de cada paciente.                                                                                                </t>
  </si>
  <si>
    <t>Tabla principal del modelo.</t>
  </si>
  <si>
    <t xml:space="preserve">Catálogo de los médicos y sus especialidades.												</t>
  </si>
  <si>
    <t>Creada en 2FN para eliminar redundancia.</t>
  </si>
  <si>
    <t xml:space="preserve">Vincula pacientes con médicos, diagnósticos y visitas.                                                                                                </t>
  </si>
  <si>
    <t>Conecta la mayoría de las tablas.</t>
  </si>
  <si>
    <t xml:space="preserve">Ubicaciones			</t>
  </si>
  <si>
    <t xml:space="preserve">Catálogo de las ubicaciones físicas (cuartos) y el hospital al que pertenecen                                                                                </t>
  </si>
  <si>
    <t>Creada en 3FN para eliminar dependencias transitivas.</t>
  </si>
  <si>
    <t>Tablas en Detalle</t>
  </si>
  <si>
    <t>Versión</t>
  </si>
  <si>
    <t>Campo</t>
  </si>
  <si>
    <t>Descripción Campo</t>
  </si>
  <si>
    <t>Tipo Dato
(Genérico)</t>
  </si>
  <si>
    <t>Tamaño / Longitud</t>
  </si>
  <si>
    <t>Nulo</t>
  </si>
  <si>
    <t>UK</t>
  </si>
  <si>
    <t>Nota/Comentarios</t>
  </si>
  <si>
    <t>Entero</t>
  </si>
  <si>
    <t>No</t>
  </si>
  <si>
    <t>S</t>
  </si>
  <si>
    <t>Nombre del paciente.</t>
  </si>
  <si>
    <t>Texto</t>
  </si>
  <si>
    <t>Apellido del paciente</t>
  </si>
  <si>
    <t>Entidad Promotora de Salud a la que pertenece</t>
  </si>
  <si>
    <t>Fecha</t>
  </si>
  <si>
    <t xml:space="preserve">NOTA: En las columnas PK, FK y UK debe colocar  “S”  solamente cuando aplique. En la columna “Nulo” coloque “No” en caso de que el campo debe estar valorizado
</t>
  </si>
  <si>
    <t>Especialidad que ejerce el medico.</t>
  </si>
  <si>
    <t>Identificador único para cada cuarto</t>
  </si>
  <si>
    <t>Hospital donde pertenece el cuarto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</si>
</sst>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-mm-yyyy h:mm:ss"/>
  </numFmts>
  <fonts count="38">
    <font>
      <sz val="10.0"/>
      <color rgb="FF000000"/>
      <name val="Arial"/>
      <scheme val="minor"/>
    </font>
    <font>
      <b/>
      <sz val="15.0"/>
      <color rgb="FF000000"/>
      <name val="Calibri"/>
    </font>
    <font/>
    <font>
      <b/>
      <sz val="15.0"/>
      <color theme="1"/>
      <name val="Calibri"/>
    </font>
    <font>
      <sz val="15.0"/>
      <color theme="1"/>
      <name val="Arial"/>
      <scheme val="minor"/>
    </font>
    <font>
      <color theme="1"/>
      <name val="Arial"/>
      <scheme val="minor"/>
    </font>
    <font>
      <b/>
      <sz val="18.0"/>
      <color rgb="FFFFFFFF"/>
      <name val="Calibri"/>
    </font>
    <font>
      <b/>
      <sz val="12.0"/>
      <color rgb="FF0000FF"/>
      <name val="Arial"/>
      <scheme val="minor"/>
    </font>
    <font>
      <b/>
      <sz val="14.0"/>
      <color rgb="FF0000FF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b/>
      <i/>
      <sz val="14.0"/>
      <color rgb="FF000000"/>
      <name val="Calibri"/>
    </font>
    <font>
      <b/>
      <sz val="16.0"/>
      <color rgb="FFFFFFFF"/>
      <name val="Calibri"/>
    </font>
    <font>
      <b/>
      <i/>
      <sz val="17.0"/>
      <color rgb="FF000000"/>
      <name val="Courier New"/>
    </font>
    <font>
      <b/>
      <sz val="12.0"/>
      <color theme="1"/>
      <name val="Arial"/>
      <scheme val="minor"/>
    </font>
    <font>
      <b/>
      <sz val="16.0"/>
      <color rgb="FF000000"/>
      <name val="Calibri"/>
    </font>
    <font>
      <b/>
      <sz val="14.0"/>
      <color theme="1"/>
      <name val="Arial"/>
      <scheme val="minor"/>
    </font>
    <font>
      <sz val="16.0"/>
      <color theme="1"/>
      <name val="Arial"/>
      <scheme val="minor"/>
    </font>
    <font>
      <b/>
      <sz val="12.0"/>
      <color rgb="FF000000"/>
      <name val="Calibri"/>
    </font>
    <font>
      <b/>
      <sz val="18.0"/>
      <color theme="1"/>
      <name val="Arial"/>
      <scheme val="minor"/>
    </font>
    <font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19.0"/>
      <color theme="1"/>
      <name val="Arial"/>
      <scheme val="minor"/>
    </font>
    <font>
      <b/>
      <sz val="15.0"/>
      <color theme="1"/>
      <name val="Arial"/>
      <scheme val="minor"/>
    </font>
    <font>
      <b/>
      <sz val="16.0"/>
      <color rgb="FFFFFFFF"/>
      <name val="Arial"/>
      <scheme val="minor"/>
    </font>
    <font>
      <b/>
      <sz val="24.0"/>
      <color rgb="FFFFFFFF"/>
      <name val="Calibri"/>
    </font>
    <font>
      <b/>
      <sz val="22.0"/>
      <color rgb="FF980000"/>
      <name val="Arial"/>
      <scheme val="minor"/>
    </font>
    <font>
      <b/>
      <sz val="14.0"/>
      <color rgb="FFFFFFFF"/>
      <name val="Arial"/>
      <scheme val="minor"/>
    </font>
    <font>
      <b/>
      <sz val="13.0"/>
      <color rgb="FFFFFFFF"/>
      <name val="Arial"/>
      <scheme val="minor"/>
    </font>
    <font>
      <b/>
      <sz val="15.0"/>
      <color rgb="FF9900FF"/>
      <name val="Arial"/>
      <scheme val="minor"/>
    </font>
    <font>
      <b/>
      <i/>
      <sz val="13.0"/>
      <color rgb="FF0000FF"/>
      <name val="Arial"/>
      <scheme val="minor"/>
    </font>
    <font>
      <b/>
      <i/>
      <sz val="13.0"/>
      <color rgb="FF38761D"/>
      <name val="Arial"/>
      <scheme val="minor"/>
    </font>
    <font>
      <b/>
      <sz val="15.0"/>
      <color rgb="FFFFFFFF"/>
      <name val="Calibri"/>
    </font>
    <font>
      <b/>
      <sz val="15.0"/>
      <color rgb="FF0000FF"/>
      <name val="Calibri"/>
    </font>
    <font>
      <b/>
      <sz val="19.0"/>
      <color rgb="FF0000FF"/>
      <name val="Arial"/>
      <scheme val="minor"/>
    </font>
    <font>
      <b/>
      <color theme="1"/>
      <name val="Arial"/>
      <scheme val="minor"/>
    </font>
    <font>
      <b/>
      <sz val="12.0"/>
      <color theme="1"/>
      <name val="Calibri"/>
    </font>
    <font>
      <b/>
      <sz val="15.0"/>
      <color rgb="FF98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D2EDEF"/>
        <bgColor rgb="FFD2EDEF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1155CC"/>
        <bgColor rgb="FF1155CC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1F2F6"/>
        <bgColor rgb="FFC1F2F6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  <fill>
      <patternFill patternType="solid">
        <fgColor rgb="FF134F5C"/>
        <bgColor rgb="FF134F5C"/>
      </patternFill>
    </fill>
    <fill>
      <patternFill patternType="solid">
        <fgColor rgb="FFCFE2F3"/>
        <bgColor rgb="FFCFE2F3"/>
      </patternFill>
    </fill>
  </fills>
  <borders count="3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readingOrder="0" vertical="center"/>
    </xf>
    <xf borderId="3" fillId="0" fontId="4" numFmtId="0" xfId="0" applyAlignment="1" applyBorder="1" applyFont="1">
      <alignment readingOrder="0"/>
    </xf>
    <xf borderId="3" fillId="0" fontId="5" numFmtId="0" xfId="0" applyBorder="1" applyFont="1"/>
    <xf borderId="0" fillId="3" fontId="6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center" readingOrder="0" vertical="center"/>
    </xf>
    <xf borderId="3" fillId="5" fontId="7" numFmtId="0" xfId="0" applyAlignment="1" applyBorder="1" applyFill="1" applyFont="1">
      <alignment horizontal="center" readingOrder="0" vertical="center"/>
    </xf>
    <xf borderId="3" fillId="5" fontId="8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left" readingOrder="0" vertical="center"/>
    </xf>
    <xf borderId="3" fillId="0" fontId="9" numFmtId="164" xfId="0" applyAlignment="1" applyBorder="1" applyFont="1" applyNumberFormat="1">
      <alignment horizontal="left" readingOrder="0" vertical="center"/>
    </xf>
    <xf borderId="3" fillId="4" fontId="10" numFmtId="0" xfId="0" applyAlignment="1" applyBorder="1" applyFont="1">
      <alignment readingOrder="0" vertical="center"/>
    </xf>
    <xf borderId="3" fillId="4" fontId="11" numFmtId="165" xfId="0" applyAlignment="1" applyBorder="1" applyFont="1" applyNumberFormat="1">
      <alignment horizontal="left" readingOrder="0" vertical="center"/>
    </xf>
    <xf borderId="3" fillId="6" fontId="12" numFmtId="0" xfId="0" applyAlignment="1" applyBorder="1" applyFill="1" applyFont="1">
      <alignment horizontal="center" readingOrder="0" vertical="center"/>
    </xf>
    <xf borderId="3" fillId="7" fontId="9" numFmtId="0" xfId="0" applyAlignment="1" applyBorder="1" applyFill="1" applyFont="1">
      <alignment horizontal="center" readingOrder="0" vertical="center"/>
    </xf>
    <xf borderId="3" fillId="4" fontId="9" numFmtId="0" xfId="0" applyAlignment="1" applyBorder="1" applyFont="1">
      <alignment readingOrder="0" vertical="center"/>
    </xf>
    <xf borderId="4" fillId="8" fontId="13" numFmtId="0" xfId="0" applyAlignment="1" applyBorder="1" applyFill="1" applyFont="1">
      <alignment horizontal="center" readingOrder="0" shrinkToFit="0" vertical="center" wrapText="1"/>
    </xf>
    <xf borderId="5" fillId="4" fontId="2" numFmtId="0" xfId="0" applyBorder="1" applyFont="1"/>
    <xf borderId="3" fillId="7" fontId="9" numFmtId="0" xfId="0" applyAlignment="1" applyBorder="1" applyFont="1">
      <alignment readingOrder="0" vertical="center"/>
    </xf>
    <xf borderId="3" fillId="4" fontId="10" numFmtId="0" xfId="0" applyAlignment="1" applyBorder="1" applyFont="1">
      <alignment readingOrder="0" vertical="center"/>
    </xf>
    <xf borderId="5" fillId="9" fontId="2" numFmtId="0" xfId="0" applyBorder="1" applyFill="1" applyFont="1"/>
    <xf borderId="6" fillId="4" fontId="2" numFmtId="0" xfId="0" applyBorder="1" applyFont="1"/>
    <xf borderId="0" fillId="0" fontId="14" numFmtId="0" xfId="0" applyAlignment="1" applyFont="1">
      <alignment horizontal="center" vertical="center"/>
    </xf>
    <xf borderId="3" fillId="10" fontId="15" numFmtId="0" xfId="0" applyAlignment="1" applyBorder="1" applyFill="1" applyFont="1">
      <alignment horizontal="center" readingOrder="0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3" fillId="0" fontId="16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horizontal="left" readingOrder="0" shrinkToFit="0" vertical="bottom" wrapText="1"/>
    </xf>
    <xf borderId="3" fillId="0" fontId="1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left" readingOrder="0" shrinkToFit="0" vertical="center" wrapText="1"/>
    </xf>
    <xf borderId="3" fillId="0" fontId="16" numFmtId="0" xfId="0" applyAlignment="1" applyBorder="1" applyFont="1">
      <alignment horizontal="left" readingOrder="0" vertical="center"/>
    </xf>
    <xf borderId="3" fillId="0" fontId="16" numFmtId="0" xfId="0" applyAlignment="1" applyBorder="1" applyFont="1">
      <alignment horizontal="left" vertical="center"/>
    </xf>
    <xf borderId="4" fillId="10" fontId="15" numFmtId="0" xfId="0" applyAlignment="1" applyBorder="1" applyFont="1">
      <alignment horizontal="center" readingOrder="0" shrinkToFit="0" vertical="center" wrapText="1"/>
    </xf>
    <xf borderId="7" fillId="10" fontId="15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0" fillId="0" fontId="17" numFmtId="0" xfId="0" applyFont="1"/>
    <xf borderId="9" fillId="0" fontId="18" numFmtId="0" xfId="0" applyAlignment="1" applyBorder="1" applyFont="1">
      <alignment horizontal="center" readingOrder="0" shrinkToFit="0" vertical="center" wrapText="1"/>
    </xf>
    <xf borderId="10" fillId="0" fontId="19" numFmtId="0" xfId="0" applyAlignment="1" applyBorder="1" applyFont="1">
      <alignment horizontal="left" readingOrder="0" shrinkToFit="0" vertical="center" wrapText="1"/>
    </xf>
    <xf borderId="10" fillId="0" fontId="20" numFmtId="0" xfId="0" applyAlignment="1" applyBorder="1" applyFont="1">
      <alignment horizontal="left" readingOrder="0" shrinkToFit="0" vertical="center" wrapText="1"/>
    </xf>
    <xf borderId="11" fillId="0" fontId="18" numFmtId="0" xfId="0" applyAlignment="1" applyBorder="1" applyFont="1">
      <alignment readingOrder="0" shrinkToFit="0" vertical="center" wrapText="1"/>
    </xf>
    <xf borderId="11" fillId="0" fontId="21" numFmtId="0" xfId="0" applyAlignment="1" applyBorder="1" applyFont="1">
      <alignment horizontal="left" readingOrder="0" shrinkToFit="0" vertical="center" wrapText="1"/>
    </xf>
    <xf borderId="12" fillId="0" fontId="21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 readingOrder="0" vertical="center"/>
    </xf>
    <xf borderId="0" fillId="4" fontId="5" numFmtId="0" xfId="0" applyFont="1"/>
    <xf borderId="0" fillId="4" fontId="21" numFmtId="0" xfId="0" applyAlignment="1" applyFont="1">
      <alignment horizontal="center" readingOrder="0" shrinkToFit="0" vertical="center" wrapText="1"/>
    </xf>
    <xf borderId="13" fillId="0" fontId="2" numFmtId="0" xfId="0" applyBorder="1" applyFont="1"/>
    <xf borderId="14" fillId="0" fontId="2" numFmtId="0" xfId="0" applyBorder="1" applyFont="1"/>
    <xf borderId="15" fillId="0" fontId="18" numFmtId="0" xfId="0" applyAlignment="1" applyBorder="1" applyFont="1">
      <alignment readingOrder="0" shrinkToFit="0" vertical="center" wrapText="1"/>
    </xf>
    <xf borderId="16" fillId="0" fontId="21" numFmtId="0" xfId="0" applyAlignment="1" applyBorder="1" applyFont="1">
      <alignment horizontal="center" readingOrder="0" shrinkToFit="0" vertical="center" wrapText="1"/>
    </xf>
    <xf borderId="0" fillId="4" fontId="22" numFmtId="0" xfId="0" applyAlignment="1" applyFont="1">
      <alignment horizontal="center" readingOrder="0" vertical="center"/>
    </xf>
    <xf borderId="0" fillId="4" fontId="21" numFmtId="0" xfId="0" applyAlignment="1" applyFont="1">
      <alignment horizontal="center" readingOrder="0"/>
    </xf>
    <xf borderId="12" fillId="0" fontId="21" numFmtId="0" xfId="0" applyAlignment="1" applyBorder="1" applyFont="1">
      <alignment horizontal="center" readingOrder="0" shrinkToFit="0" wrapText="1"/>
    </xf>
    <xf borderId="15" fillId="0" fontId="21" numFmtId="0" xfId="0" applyAlignment="1" applyBorder="1" applyFont="1">
      <alignment horizontal="left" readingOrder="0" shrinkToFit="0" vertical="center" wrapText="1"/>
    </xf>
    <xf borderId="16" fillId="0" fontId="21" numFmtId="0" xfId="0" applyAlignment="1" applyBorder="1" applyFont="1">
      <alignment horizontal="center" readingOrder="0" shrinkToFit="0" wrapText="1"/>
    </xf>
    <xf borderId="0" fillId="4" fontId="23" numFmtId="0" xfId="0" applyAlignment="1" applyFont="1">
      <alignment horizontal="center" readingOrder="0" vertical="center"/>
    </xf>
    <xf borderId="0" fillId="4" fontId="16" numFmtId="0" xfId="0" applyAlignment="1" applyFont="1">
      <alignment horizontal="center" readingOrder="0" vertical="center"/>
    </xf>
    <xf borderId="0" fillId="4" fontId="24" numFmtId="0" xfId="0" applyAlignment="1" applyFont="1">
      <alignment horizontal="center" readingOrder="0"/>
    </xf>
    <xf borderId="10" fillId="0" fontId="19" numFmtId="0" xfId="0" applyAlignment="1" applyBorder="1" applyFont="1">
      <alignment horizontal="left" shrinkToFit="0" vertical="center" wrapText="1"/>
    </xf>
    <xf borderId="10" fillId="0" fontId="20" numFmtId="0" xfId="0" applyAlignment="1" applyBorder="1" applyFont="1">
      <alignment horizontal="left" shrinkToFit="0" vertical="center" wrapText="1"/>
    </xf>
    <xf borderId="11" fillId="0" fontId="20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left" shrinkToFit="0" wrapText="1"/>
    </xf>
    <xf borderId="15" fillId="0" fontId="20" numFmtId="0" xfId="0" applyAlignment="1" applyBorder="1" applyFont="1">
      <alignment horizontal="left" shrinkToFit="0" vertical="center" wrapText="1"/>
    </xf>
    <xf borderId="16" fillId="0" fontId="5" numFmtId="0" xfId="0" applyAlignment="1" applyBorder="1" applyFont="1">
      <alignment horizontal="left" shrinkToFit="0" wrapText="1"/>
    </xf>
    <xf borderId="17" fillId="11" fontId="25" numFmtId="0" xfId="0" applyAlignment="1" applyBorder="1" applyFill="1" applyFont="1">
      <alignment horizontal="center" readingOrder="0" vertical="center"/>
    </xf>
    <xf borderId="18" fillId="0" fontId="2" numFmtId="0" xfId="0" applyBorder="1" applyFont="1"/>
    <xf borderId="19" fillId="0" fontId="2" numFmtId="0" xfId="0" applyBorder="1" applyFont="1"/>
    <xf borderId="7" fillId="0" fontId="26" numFmtId="0" xfId="0" applyAlignment="1" applyBorder="1" applyFont="1">
      <alignment horizontal="center" readingOrder="0" vertical="center"/>
    </xf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3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26" fillId="0" fontId="2" numFmtId="0" xfId="0" applyBorder="1" applyFont="1"/>
    <xf borderId="3" fillId="0" fontId="9" numFmtId="0" xfId="0" applyAlignment="1" applyBorder="1" applyFont="1">
      <alignment horizontal="center" readingOrder="0"/>
    </xf>
    <xf borderId="1" fillId="0" fontId="5" numFmtId="0" xfId="0" applyAlignment="1" applyBorder="1" applyFont="1">
      <alignment shrinkToFit="0" wrapText="1"/>
    </xf>
    <xf borderId="0" fillId="6" fontId="27" numFmtId="0" xfId="0" applyAlignment="1" applyFont="1">
      <alignment horizontal="center" readingOrder="0" vertical="center"/>
    </xf>
    <xf borderId="0" fillId="12" fontId="12" numFmtId="0" xfId="0" applyAlignment="1" applyFill="1" applyFont="1">
      <alignment horizontal="center" readingOrder="0" vertical="center"/>
    </xf>
    <xf borderId="0" fillId="13" fontId="28" numFmtId="0" xfId="0" applyAlignment="1" applyFill="1" applyFont="1">
      <alignment horizontal="center" readingOrder="0" vertical="center"/>
    </xf>
    <xf borderId="3" fillId="2" fontId="29" numFmtId="0" xfId="0" applyAlignment="1" applyBorder="1" applyFont="1">
      <alignment horizontal="center" readingOrder="0" vertical="center"/>
    </xf>
    <xf borderId="3" fillId="2" fontId="30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readingOrder="0" vertical="center"/>
    </xf>
    <xf borderId="3" fillId="0" fontId="16" numFmtId="0" xfId="0" applyAlignment="1" applyBorder="1" applyFont="1">
      <alignment horizontal="center" readingOrder="0" vertical="center"/>
    </xf>
    <xf borderId="3" fillId="0" fontId="23" numFmtId="0" xfId="0" applyAlignment="1" applyBorder="1" applyFont="1">
      <alignment readingOrder="0"/>
    </xf>
    <xf borderId="3" fillId="4" fontId="5" numFmtId="0" xfId="0" applyBorder="1" applyFont="1"/>
    <xf borderId="3" fillId="4" fontId="23" numFmtId="0" xfId="0" applyAlignment="1" applyBorder="1" applyFont="1">
      <alignment readingOrder="0"/>
    </xf>
    <xf borderId="3" fillId="4" fontId="23" numFmtId="164" xfId="0" applyAlignment="1" applyBorder="1" applyFont="1" applyNumberFormat="1">
      <alignment readingOrder="0"/>
    </xf>
    <xf borderId="3" fillId="0" fontId="23" numFmtId="164" xfId="0" applyAlignment="1" applyBorder="1" applyFont="1" applyNumberFormat="1">
      <alignment readingOrder="0"/>
    </xf>
    <xf borderId="3" fillId="4" fontId="23" numFmtId="0" xfId="0" applyAlignment="1" applyBorder="1" applyFont="1">
      <alignment readingOrder="0" shrinkToFit="0" wrapText="1"/>
    </xf>
    <xf borderId="3" fillId="2" fontId="31" numFmtId="0" xfId="0" applyAlignment="1" applyBorder="1" applyFont="1">
      <alignment horizontal="center" readingOrder="0" vertical="center"/>
    </xf>
    <xf borderId="0" fillId="0" fontId="5" numFmtId="0" xfId="0" applyAlignment="1" applyFont="1">
      <alignment readingOrder="0"/>
    </xf>
    <xf borderId="0" fillId="2" fontId="3" numFmtId="0" xfId="0" applyAlignment="1" applyFont="1">
      <alignment horizontal="center" readingOrder="0" vertical="center"/>
    </xf>
    <xf borderId="0" fillId="0" fontId="5" numFmtId="0" xfId="0" applyAlignment="1" applyFont="1">
      <alignment shrinkToFit="0" wrapText="1"/>
    </xf>
    <xf borderId="1" fillId="6" fontId="32" numFmtId="0" xfId="0" applyAlignment="1" applyBorder="1" applyFont="1">
      <alignment horizontal="center" readingOrder="0" vertical="center"/>
    </xf>
    <xf borderId="0" fillId="6" fontId="32" numFmtId="0" xfId="0" applyAlignment="1" applyFont="1">
      <alignment horizontal="center" readingOrder="0" vertical="center"/>
    </xf>
    <xf borderId="3" fillId="8" fontId="33" numFmtId="0" xfId="0" applyAlignment="1" applyBorder="1" applyFont="1">
      <alignment horizontal="center" readingOrder="0" shrinkToFit="0" vertical="center" wrapText="1"/>
    </xf>
    <xf borderId="1" fillId="14" fontId="1" numFmtId="0" xfId="0" applyAlignment="1" applyBorder="1" applyFill="1" applyFont="1">
      <alignment horizontal="center" readingOrder="0" shrinkToFit="0" vertical="center" wrapText="1"/>
    </xf>
    <xf borderId="1" fillId="4" fontId="2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" fillId="14" fontId="18" numFmtId="0" xfId="0" applyAlignment="1" applyBorder="1" applyFont="1">
      <alignment horizontal="center" readingOrder="0" shrinkToFit="0" vertical="center" wrapText="1"/>
    </xf>
    <xf borderId="3" fillId="14" fontId="1" numFmtId="0" xfId="0" applyAlignment="1" applyBorder="1" applyFont="1">
      <alignment horizontal="center" readingOrder="0" shrinkToFit="0" vertical="center" wrapText="1"/>
    </xf>
    <xf borderId="0" fillId="14" fontId="1" numFmtId="0" xfId="0" applyAlignment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readingOrder="0" shrinkToFit="0" vertical="center" wrapText="1"/>
    </xf>
    <xf borderId="1" fillId="4" fontId="23" numFmtId="0" xfId="0" applyAlignment="1" applyBorder="1" applyFont="1">
      <alignment readingOrder="0" shrinkToFit="0" wrapText="1"/>
    </xf>
    <xf borderId="1" fillId="4" fontId="23" numFmtId="0" xfId="0" applyAlignment="1" applyBorder="1" applyFont="1">
      <alignment readingOrder="0"/>
    </xf>
    <xf borderId="0" fillId="4" fontId="5" numFmtId="0" xfId="0" applyAlignment="1" applyFont="1">
      <alignment horizontal="left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3" fillId="4" fontId="5" numFmtId="0" xfId="0" applyAlignment="1" applyBorder="1" applyFont="1">
      <alignment horizontal="left" shrinkToFit="0" vertical="center" wrapText="1"/>
    </xf>
    <xf borderId="1" fillId="4" fontId="2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3" fillId="4" fontId="14" numFmtId="0" xfId="0" applyAlignment="1" applyBorder="1" applyFont="1">
      <alignment horizontal="left" shrinkToFit="0" vertical="center" wrapText="1"/>
    </xf>
    <xf borderId="0" fillId="0" fontId="34" numFmtId="0" xfId="0" applyAlignment="1" applyFont="1">
      <alignment horizontal="center" readingOrder="0" vertical="center"/>
    </xf>
    <xf borderId="27" fillId="10" fontId="15" numFmtId="0" xfId="0" applyAlignment="1" applyBorder="1" applyFont="1">
      <alignment horizontal="center" readingOrder="0" shrinkToFit="0" vertical="center" wrapText="1"/>
    </xf>
    <xf borderId="28" fillId="10" fontId="15" numFmtId="0" xfId="0" applyAlignment="1" applyBorder="1" applyFont="1">
      <alignment horizontal="center" readingOrder="0" shrinkToFit="0" vertical="center" wrapText="1"/>
    </xf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0" fillId="10" fontId="15" numFmtId="0" xfId="0" applyAlignment="1" applyFont="1">
      <alignment horizontal="center" readingOrder="0" shrinkToFit="0" vertical="center" wrapText="1"/>
    </xf>
    <xf borderId="32" fillId="0" fontId="16" numFmtId="0" xfId="0" applyAlignment="1" applyBorder="1" applyFont="1">
      <alignment horizontal="center" readingOrder="0" shrinkToFit="0" vertical="center" wrapText="1"/>
    </xf>
    <xf borderId="1" fillId="4" fontId="23" numFmtId="0" xfId="0" applyAlignment="1" applyBorder="1" applyFont="1">
      <alignment horizontal="left" readingOrder="0" shrinkToFit="0" vertical="center" wrapText="1"/>
    </xf>
    <xf borderId="33" fillId="0" fontId="23" numFmtId="0" xfId="0" applyAlignment="1" applyBorder="1" applyFont="1">
      <alignment readingOrder="0" shrinkToFit="0" wrapText="1"/>
    </xf>
    <xf borderId="33" fillId="0" fontId="23" numFmtId="0" xfId="0" applyAlignment="1" applyBorder="1" applyFont="1">
      <alignment horizontal="left" readingOrder="0" shrinkToFit="0" vertical="center" wrapText="1"/>
    </xf>
    <xf borderId="0" fillId="0" fontId="16" numFmtId="0" xfId="0" applyAlignment="1" applyFont="1">
      <alignment horizontal="left" shrinkToFit="0" vertical="center" wrapText="1"/>
    </xf>
    <xf borderId="33" fillId="0" fontId="23" numFmtId="0" xfId="0" applyAlignment="1" applyBorder="1" applyFont="1">
      <alignment readingOrder="0"/>
    </xf>
    <xf borderId="33" fillId="0" fontId="16" numFmtId="0" xfId="0" applyAlignment="1" applyBorder="1" applyFont="1">
      <alignment horizontal="left" readingOrder="0" shrinkToFit="0" vertical="center" wrapText="1"/>
    </xf>
    <xf borderId="33" fillId="0" fontId="16" numFmtId="0" xfId="0" applyAlignment="1" applyBorder="1" applyFont="1">
      <alignment horizontal="left" shrinkToFit="0" vertical="center" wrapText="1"/>
    </xf>
    <xf borderId="33" fillId="0" fontId="5" numFmtId="0" xfId="0" applyBorder="1" applyFont="1"/>
    <xf borderId="1" fillId="14" fontId="10" numFmtId="0" xfId="0" applyAlignment="1" applyBorder="1" applyFont="1">
      <alignment horizontal="center" readingOrder="0" shrinkToFit="0" vertical="center" wrapText="1"/>
    </xf>
    <xf borderId="3" fillId="14" fontId="10" numFmtId="0" xfId="0" applyAlignment="1" applyBorder="1" applyFont="1">
      <alignment horizontal="center" readingOrder="0" shrinkToFit="0" vertical="center" wrapText="1"/>
    </xf>
    <xf borderId="3" fillId="4" fontId="35" numFmtId="0" xfId="0" applyAlignment="1" applyBorder="1" applyFont="1">
      <alignment horizontal="center" shrinkToFit="0" vertical="center" wrapText="1"/>
    </xf>
    <xf borderId="0" fillId="4" fontId="35" numFmtId="0" xfId="0" applyAlignment="1" applyFont="1">
      <alignment horizontal="center" shrinkToFit="0" vertical="center" wrapText="1"/>
    </xf>
    <xf borderId="0" fillId="14" fontId="10" numFmtId="0" xfId="0" applyAlignment="1" applyFont="1">
      <alignment horizontal="center" readingOrder="0" shrinkToFit="0" vertical="center" wrapText="1"/>
    </xf>
    <xf borderId="3" fillId="4" fontId="23" numFmtId="0" xfId="0" applyAlignment="1" applyBorder="1" applyFont="1">
      <alignment horizontal="left" readingOrder="0" shrinkToFit="0" vertical="center" wrapText="1"/>
    </xf>
    <xf borderId="1" fillId="4" fontId="23" numFmtId="0" xfId="0" applyAlignment="1" applyBorder="1" applyFont="1">
      <alignment horizontal="left" shrinkToFit="0" vertical="center" wrapText="1"/>
    </xf>
    <xf borderId="0" fillId="4" fontId="23" numFmtId="0" xfId="0" applyAlignment="1" applyFont="1">
      <alignment horizontal="left" shrinkToFit="0" vertical="center" wrapText="1"/>
    </xf>
    <xf borderId="3" fillId="4" fontId="36" numFmtId="0" xfId="0" applyAlignment="1" applyBorder="1" applyFont="1">
      <alignment horizontal="center" readingOrder="0" shrinkToFit="0" vertical="center" wrapText="1"/>
    </xf>
    <xf borderId="1" fillId="0" fontId="37" numFmtId="0" xfId="0" applyAlignment="1" applyBorder="1" applyFont="1">
      <alignment readingOrder="0" vertical="center"/>
    </xf>
    <xf borderId="0" fillId="0" fontId="37" numFmtId="0" xfId="0" applyAlignment="1" applyFont="1">
      <alignment readingOrder="0" vertical="center"/>
    </xf>
    <xf borderId="3" fillId="4" fontId="23" numFmtId="0" xfId="0" applyAlignment="1" applyBorder="1" applyFont="1">
      <alignment horizontal="left" shrinkToFit="0" vertical="center" wrapText="1"/>
    </xf>
    <xf borderId="0" fillId="7" fontId="34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752475</xdr:colOff>
      <xdr:row>2</xdr:row>
      <xdr:rowOff>-133350</xdr:rowOff>
    </xdr:from>
    <xdr:ext cx="13211175" cy="98964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66.5"/>
    <col customWidth="1" min="3" max="3" width="69.38"/>
    <col customWidth="1" min="4" max="4" width="42.25"/>
  </cols>
  <sheetData>
    <row r="1" ht="30.0" customHeight="1">
      <c r="A1" s="1" t="s">
        <v>0</v>
      </c>
      <c r="B1" s="2"/>
      <c r="C1" s="3" t="s">
        <v>1</v>
      </c>
    </row>
    <row r="2" ht="30.0" customHeight="1">
      <c r="A2" s="4" t="s">
        <v>2</v>
      </c>
      <c r="B2" s="2"/>
      <c r="C2" s="5" t="s">
        <v>3</v>
      </c>
    </row>
    <row r="3" ht="30.0" customHeight="1">
      <c r="A3" s="4" t="s">
        <v>4</v>
      </c>
      <c r="B3" s="2"/>
      <c r="C3" s="5" t="s">
        <v>5</v>
      </c>
    </row>
    <row r="4" ht="30.0" customHeight="1">
      <c r="A4" s="4" t="s">
        <v>6</v>
      </c>
      <c r="B4" s="2"/>
      <c r="C4" s="5" t="s">
        <v>7</v>
      </c>
    </row>
    <row r="5" ht="30.0" customHeight="1">
      <c r="A5" s="4" t="s">
        <v>8</v>
      </c>
      <c r="B5" s="2"/>
      <c r="C5" s="6"/>
    </row>
    <row r="6">
      <c r="A6" s="7" t="s">
        <v>9</v>
      </c>
      <c r="D6" s="8"/>
    </row>
    <row r="7">
      <c r="A7" s="9" t="s">
        <v>10</v>
      </c>
      <c r="B7" s="10" t="s">
        <v>11</v>
      </c>
      <c r="C7" s="10" t="s">
        <v>12</v>
      </c>
    </row>
    <row r="8" ht="30.0" customHeight="1">
      <c r="A8" s="11">
        <v>1.0</v>
      </c>
      <c r="B8" s="12" t="s">
        <v>13</v>
      </c>
      <c r="C8" s="13">
        <v>1.020498922E9</v>
      </c>
    </row>
    <row r="9" ht="30.0" customHeight="1">
      <c r="A9" s="11">
        <f t="shared" ref="A9:A39" si="1">A8+1</f>
        <v>2</v>
      </c>
      <c r="B9" s="12" t="s">
        <v>14</v>
      </c>
      <c r="C9" s="13" t="s">
        <v>15</v>
      </c>
    </row>
    <row r="10" ht="30.0" customHeight="1">
      <c r="A10" s="11">
        <f t="shared" si="1"/>
        <v>3</v>
      </c>
      <c r="B10" s="12" t="s">
        <v>16</v>
      </c>
      <c r="C10" s="13" t="s">
        <v>17</v>
      </c>
    </row>
    <row r="11" ht="30.0" customHeight="1">
      <c r="A11" s="11">
        <f t="shared" si="1"/>
        <v>4</v>
      </c>
      <c r="B11" s="12" t="s">
        <v>18</v>
      </c>
      <c r="C11" s="14">
        <v>22918.0</v>
      </c>
    </row>
    <row r="12" ht="30.0" customHeight="1">
      <c r="A12" s="11">
        <f t="shared" si="1"/>
        <v>5</v>
      </c>
      <c r="B12" s="12" t="s">
        <v>19</v>
      </c>
      <c r="C12" s="13">
        <v>63.0</v>
      </c>
    </row>
    <row r="13" ht="30.0" customHeight="1">
      <c r="A13" s="11">
        <f t="shared" si="1"/>
        <v>6</v>
      </c>
      <c r="B13" s="12" t="s">
        <v>20</v>
      </c>
      <c r="C13" s="13" t="s">
        <v>21</v>
      </c>
    </row>
    <row r="14" ht="30.0" customHeight="1">
      <c r="A14" s="11">
        <f t="shared" si="1"/>
        <v>7</v>
      </c>
      <c r="B14" s="12" t="s">
        <v>22</v>
      </c>
      <c r="C14" s="13">
        <v>3001.0</v>
      </c>
    </row>
    <row r="15" ht="30.0" customHeight="1">
      <c r="A15" s="11">
        <f t="shared" si="1"/>
        <v>8</v>
      </c>
      <c r="B15" s="12" t="s">
        <v>23</v>
      </c>
      <c r="C15" s="13" t="s">
        <v>24</v>
      </c>
    </row>
    <row r="16" ht="30.0" customHeight="1">
      <c r="A16" s="11">
        <f t="shared" si="1"/>
        <v>9</v>
      </c>
      <c r="B16" s="12" t="s">
        <v>25</v>
      </c>
      <c r="C16" s="13" t="s">
        <v>26</v>
      </c>
    </row>
    <row r="17" ht="30.0" customHeight="1">
      <c r="A17" s="11">
        <f t="shared" si="1"/>
        <v>10</v>
      </c>
      <c r="B17" s="12" t="s">
        <v>27</v>
      </c>
      <c r="C17" s="13" t="s">
        <v>28</v>
      </c>
    </row>
    <row r="18" ht="30.0" customHeight="1">
      <c r="A18" s="11">
        <f t="shared" si="1"/>
        <v>11</v>
      </c>
      <c r="B18" s="12" t="s">
        <v>29</v>
      </c>
      <c r="C18" s="14">
        <v>45717.0</v>
      </c>
    </row>
    <row r="19" ht="30.0" customHeight="1">
      <c r="A19" s="11">
        <f t="shared" si="1"/>
        <v>12</v>
      </c>
      <c r="B19" s="12" t="s">
        <v>30</v>
      </c>
      <c r="C19" s="13" t="s">
        <v>31</v>
      </c>
    </row>
    <row r="20" ht="30.0" customHeight="1">
      <c r="A20" s="11">
        <f t="shared" si="1"/>
        <v>13</v>
      </c>
      <c r="B20" s="12" t="s">
        <v>32</v>
      </c>
      <c r="C20" s="14">
        <v>45726.0</v>
      </c>
    </row>
    <row r="21" ht="30.0" customHeight="1">
      <c r="A21" s="11">
        <f t="shared" si="1"/>
        <v>14</v>
      </c>
      <c r="B21" s="12" t="s">
        <v>33</v>
      </c>
      <c r="C21" s="14">
        <v>45745.0</v>
      </c>
    </row>
    <row r="22" ht="30.0" customHeight="1">
      <c r="A22" s="11">
        <f t="shared" si="1"/>
        <v>15</v>
      </c>
      <c r="B22" s="12" t="s">
        <v>34</v>
      </c>
      <c r="C22" s="13">
        <v>4.0</v>
      </c>
    </row>
    <row r="23" ht="30.0" customHeight="1">
      <c r="A23" s="11">
        <f t="shared" si="1"/>
        <v>16</v>
      </c>
      <c r="B23" s="12" t="s">
        <v>35</v>
      </c>
      <c r="C23" s="13">
        <v>3.0</v>
      </c>
    </row>
    <row r="24" ht="30.0" customHeight="1">
      <c r="A24" s="11">
        <f t="shared" si="1"/>
        <v>17</v>
      </c>
      <c r="B24" s="12" t="s">
        <v>36</v>
      </c>
      <c r="C24" s="12" t="s">
        <v>37</v>
      </c>
    </row>
    <row r="25" ht="30.0" customHeight="1">
      <c r="A25" s="11">
        <f t="shared" si="1"/>
        <v>18</v>
      </c>
      <c r="B25" s="12" t="s">
        <v>38</v>
      </c>
      <c r="C25" s="13" t="s">
        <v>39</v>
      </c>
    </row>
    <row r="26" ht="30.0" customHeight="1">
      <c r="A26" s="11">
        <f t="shared" si="1"/>
        <v>19</v>
      </c>
      <c r="B26" s="12" t="s">
        <v>40</v>
      </c>
      <c r="C26" s="13">
        <v>111.0</v>
      </c>
    </row>
    <row r="27" ht="30.0" customHeight="1">
      <c r="A27" s="11">
        <f t="shared" si="1"/>
        <v>20</v>
      </c>
      <c r="B27" s="12" t="s">
        <v>41</v>
      </c>
      <c r="C27" s="12" t="s">
        <v>42</v>
      </c>
    </row>
    <row r="28" ht="30.0" customHeight="1">
      <c r="A28" s="11">
        <f t="shared" si="1"/>
        <v>21</v>
      </c>
      <c r="B28" s="12" t="s">
        <v>43</v>
      </c>
      <c r="C28" s="13">
        <v>111.0</v>
      </c>
    </row>
    <row r="29" ht="30.0" customHeight="1">
      <c r="A29" s="11">
        <f t="shared" si="1"/>
        <v>22</v>
      </c>
      <c r="B29" s="12" t="s">
        <v>44</v>
      </c>
      <c r="C29" s="12" t="s">
        <v>45</v>
      </c>
    </row>
    <row r="30" ht="30.0" customHeight="1">
      <c r="A30" s="11">
        <f t="shared" si="1"/>
        <v>23</v>
      </c>
      <c r="B30" s="12" t="s">
        <v>46</v>
      </c>
      <c r="C30" s="15" t="s">
        <v>47</v>
      </c>
    </row>
    <row r="31" ht="30.0" customHeight="1">
      <c r="A31" s="11">
        <f t="shared" si="1"/>
        <v>24</v>
      </c>
      <c r="B31" s="12" t="s">
        <v>48</v>
      </c>
      <c r="C31" s="15" t="s">
        <v>49</v>
      </c>
    </row>
    <row r="32" ht="30.0" customHeight="1">
      <c r="A32" s="11">
        <f t="shared" si="1"/>
        <v>25</v>
      </c>
      <c r="B32" s="12" t="s">
        <v>50</v>
      </c>
      <c r="C32" s="16">
        <v>45718.375</v>
      </c>
    </row>
    <row r="33" ht="30.0" customHeight="1">
      <c r="A33" s="11">
        <f t="shared" si="1"/>
        <v>26</v>
      </c>
      <c r="B33" s="12" t="s">
        <v>51</v>
      </c>
      <c r="C33" s="16">
        <v>45727.458333333336</v>
      </c>
    </row>
    <row r="34" ht="30.0" customHeight="1">
      <c r="A34" s="11">
        <f t="shared" si="1"/>
        <v>27</v>
      </c>
      <c r="B34" s="12" t="s">
        <v>52</v>
      </c>
      <c r="C34" s="12" t="s">
        <v>53</v>
      </c>
    </row>
    <row r="35" ht="30.0" customHeight="1">
      <c r="A35" s="11">
        <f t="shared" si="1"/>
        <v>28</v>
      </c>
      <c r="B35" s="12" t="s">
        <v>54</v>
      </c>
      <c r="C35" s="12" t="s">
        <v>55</v>
      </c>
    </row>
    <row r="36" ht="30.0" customHeight="1">
      <c r="A36" s="11">
        <f t="shared" si="1"/>
        <v>29</v>
      </c>
      <c r="B36" s="12" t="s">
        <v>56</v>
      </c>
      <c r="C36" s="12" t="s">
        <v>57</v>
      </c>
    </row>
    <row r="37" ht="30.0" customHeight="1">
      <c r="A37" s="11">
        <f t="shared" si="1"/>
        <v>30</v>
      </c>
      <c r="B37" s="12" t="s">
        <v>58</v>
      </c>
      <c r="C37" s="12" t="s">
        <v>59</v>
      </c>
    </row>
    <row r="38" ht="30.0" customHeight="1">
      <c r="A38" s="11">
        <f t="shared" si="1"/>
        <v>31</v>
      </c>
      <c r="B38" s="12" t="s">
        <v>60</v>
      </c>
      <c r="C38" s="12" t="s">
        <v>61</v>
      </c>
    </row>
    <row r="39" ht="30.0" customHeight="1">
      <c r="A39" s="11">
        <f t="shared" si="1"/>
        <v>32</v>
      </c>
      <c r="B39" s="12" t="s">
        <v>62</v>
      </c>
      <c r="C39" s="12" t="s">
        <v>63</v>
      </c>
    </row>
    <row r="40" ht="30.0" customHeight="1">
      <c r="A40" s="17"/>
      <c r="B40" s="17" t="s">
        <v>64</v>
      </c>
      <c r="C40" s="17" t="s">
        <v>65</v>
      </c>
    </row>
    <row r="41" ht="30.0" customHeight="1">
      <c r="A41" s="18">
        <f>A39+1</f>
        <v>33</v>
      </c>
      <c r="B41" s="19" t="s">
        <v>66</v>
      </c>
      <c r="C41" s="15" t="s">
        <v>67</v>
      </c>
      <c r="D41" s="20" t="s">
        <v>68</v>
      </c>
    </row>
    <row r="42" ht="30.0" customHeight="1">
      <c r="A42" s="18">
        <f t="shared" ref="A42:A48" si="2">A41+1</f>
        <v>34</v>
      </c>
      <c r="B42" s="19" t="s">
        <v>69</v>
      </c>
      <c r="C42" s="15" t="s">
        <v>70</v>
      </c>
      <c r="D42" s="21"/>
    </row>
    <row r="43" ht="30.0" customHeight="1">
      <c r="A43" s="18">
        <f t="shared" si="2"/>
        <v>35</v>
      </c>
      <c r="B43" s="22" t="s">
        <v>71</v>
      </c>
      <c r="C43" s="23" t="s">
        <v>72</v>
      </c>
      <c r="D43" s="24"/>
    </row>
    <row r="44" ht="30.0" customHeight="1">
      <c r="A44" s="18">
        <f t="shared" si="2"/>
        <v>36</v>
      </c>
      <c r="B44" s="22" t="s">
        <v>73</v>
      </c>
      <c r="C44" s="23" t="s">
        <v>74</v>
      </c>
      <c r="D44" s="21"/>
    </row>
    <row r="45" ht="30.0" customHeight="1">
      <c r="A45" s="18">
        <f t="shared" si="2"/>
        <v>37</v>
      </c>
      <c r="B45" s="22" t="s">
        <v>75</v>
      </c>
      <c r="C45" s="23" t="s">
        <v>76</v>
      </c>
      <c r="D45" s="24"/>
    </row>
    <row r="46" ht="30.0" customHeight="1">
      <c r="A46" s="18">
        <f t="shared" si="2"/>
        <v>38</v>
      </c>
      <c r="B46" s="22" t="s">
        <v>77</v>
      </c>
      <c r="C46" s="23" t="s">
        <v>78</v>
      </c>
      <c r="D46" s="21"/>
    </row>
    <row r="47" ht="30.0" customHeight="1">
      <c r="A47" s="18">
        <f t="shared" si="2"/>
        <v>39</v>
      </c>
      <c r="B47" s="22" t="s">
        <v>79</v>
      </c>
      <c r="C47" s="23" t="s">
        <v>80</v>
      </c>
      <c r="D47" s="24"/>
    </row>
    <row r="48" ht="30.0" customHeight="1">
      <c r="A48" s="18">
        <f t="shared" si="2"/>
        <v>40</v>
      </c>
      <c r="B48" s="22" t="s">
        <v>81</v>
      </c>
      <c r="C48" s="19" t="s">
        <v>82</v>
      </c>
      <c r="D48" s="25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  <row r="1001">
      <c r="A1001" s="26"/>
    </row>
  </sheetData>
  <mergeCells count="7">
    <mergeCell ref="A1:B1"/>
    <mergeCell ref="A2:B2"/>
    <mergeCell ref="A3:B3"/>
    <mergeCell ref="A4:B4"/>
    <mergeCell ref="A5:B5"/>
    <mergeCell ref="A6:C6"/>
    <mergeCell ref="D41:D4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41.63"/>
    <col customWidth="1" min="3" max="3" width="73.13"/>
    <col customWidth="1" min="4" max="4" width="52.75"/>
  </cols>
  <sheetData>
    <row r="1">
      <c r="A1" s="7" t="s">
        <v>83</v>
      </c>
      <c r="E1" s="8"/>
      <c r="F1" s="8"/>
      <c r="G1" s="8"/>
      <c r="H1" s="8"/>
      <c r="I1" s="8"/>
    </row>
    <row r="2" ht="35.25" customHeight="1">
      <c r="A2" s="27" t="s">
        <v>10</v>
      </c>
      <c r="B2" s="27" t="s">
        <v>84</v>
      </c>
      <c r="C2" s="27" t="s">
        <v>85</v>
      </c>
      <c r="D2" s="27" t="s">
        <v>86</v>
      </c>
    </row>
    <row r="3" ht="57.0" customHeight="1">
      <c r="A3" s="28">
        <v>1.0</v>
      </c>
      <c r="B3" s="29" t="s">
        <v>87</v>
      </c>
      <c r="C3" s="30" t="s">
        <v>88</v>
      </c>
      <c r="D3" s="29" t="s">
        <v>89</v>
      </c>
    </row>
    <row r="4" ht="51.75" customHeight="1">
      <c r="A4" s="31">
        <f t="shared" ref="A4:A5" si="1">A3+1</f>
        <v>2</v>
      </c>
      <c r="B4" s="29" t="s">
        <v>90</v>
      </c>
      <c r="C4" s="29" t="s">
        <v>91</v>
      </c>
      <c r="D4" s="29" t="s">
        <v>92</v>
      </c>
    </row>
    <row r="5" ht="45.0" customHeight="1">
      <c r="A5" s="31">
        <f t="shared" si="1"/>
        <v>3</v>
      </c>
      <c r="B5" s="32" t="s">
        <v>93</v>
      </c>
      <c r="C5" s="29" t="s">
        <v>94</v>
      </c>
      <c r="D5" s="29" t="s">
        <v>95</v>
      </c>
    </row>
    <row r="6" ht="51.0" customHeight="1">
      <c r="A6" s="28">
        <v>4.0</v>
      </c>
      <c r="B6" s="33" t="s">
        <v>96</v>
      </c>
      <c r="C6" s="29" t="s">
        <v>97</v>
      </c>
      <c r="D6" s="29" t="s">
        <v>98</v>
      </c>
    </row>
    <row r="7" ht="51.0" customHeight="1">
      <c r="A7" s="28">
        <v>5.0</v>
      </c>
      <c r="B7" s="29" t="s">
        <v>99</v>
      </c>
      <c r="C7" s="29" t="s">
        <v>100</v>
      </c>
      <c r="D7" s="29" t="s">
        <v>101</v>
      </c>
    </row>
    <row r="8" ht="54.75" customHeight="1">
      <c r="A8" s="28">
        <v>6.0</v>
      </c>
      <c r="B8" s="29" t="s">
        <v>102</v>
      </c>
      <c r="C8" s="29" t="s">
        <v>103</v>
      </c>
      <c r="D8" s="29" t="s">
        <v>104</v>
      </c>
    </row>
    <row r="9" ht="48.75" customHeight="1">
      <c r="A9" s="28">
        <v>7.0</v>
      </c>
      <c r="B9" s="29" t="s">
        <v>105</v>
      </c>
      <c r="C9" s="29" t="s">
        <v>106</v>
      </c>
      <c r="D9" s="29" t="s">
        <v>107</v>
      </c>
    </row>
    <row r="10" ht="42.75" customHeight="1">
      <c r="A10" s="28">
        <v>8.0</v>
      </c>
      <c r="B10" s="29" t="s">
        <v>108</v>
      </c>
      <c r="C10" s="29" t="s">
        <v>109</v>
      </c>
      <c r="D10" s="29" t="s">
        <v>110</v>
      </c>
    </row>
    <row r="11" ht="50.25" customHeight="1">
      <c r="A11" s="28">
        <v>9.0</v>
      </c>
      <c r="B11" s="29" t="s">
        <v>111</v>
      </c>
      <c r="C11" s="29" t="s">
        <v>112</v>
      </c>
      <c r="D11" s="29" t="s">
        <v>113</v>
      </c>
    </row>
    <row r="12" ht="45.0" customHeight="1">
      <c r="A12" s="28">
        <v>10.0</v>
      </c>
      <c r="B12" s="29" t="s">
        <v>114</v>
      </c>
      <c r="C12" s="29" t="s">
        <v>115</v>
      </c>
      <c r="D12" s="29" t="s">
        <v>116</v>
      </c>
    </row>
    <row r="13" ht="75.75" customHeight="1">
      <c r="A13" s="28">
        <v>11.0</v>
      </c>
      <c r="B13" s="34" t="s">
        <v>117</v>
      </c>
      <c r="C13" s="29" t="s">
        <v>118</v>
      </c>
      <c r="D13" s="29" t="s">
        <v>119</v>
      </c>
    </row>
    <row r="14" ht="51.75" customHeight="1">
      <c r="A14" s="28">
        <v>12.0</v>
      </c>
      <c r="B14" s="34" t="s">
        <v>120</v>
      </c>
      <c r="C14" s="29" t="s">
        <v>121</v>
      </c>
      <c r="D14" s="34" t="s">
        <v>122</v>
      </c>
    </row>
    <row r="15" ht="30.0" customHeight="1">
      <c r="A15" s="28">
        <v>13.0</v>
      </c>
      <c r="B15" s="35"/>
      <c r="C15" s="35"/>
      <c r="D15" s="35"/>
    </row>
    <row r="16" ht="30.0" customHeight="1">
      <c r="A16" s="28">
        <v>14.0</v>
      </c>
      <c r="B16" s="35"/>
      <c r="C16" s="35"/>
      <c r="D16" s="35"/>
    </row>
    <row r="17" ht="30.0" customHeight="1">
      <c r="A17" s="28">
        <v>15.0</v>
      </c>
      <c r="B17" s="35"/>
      <c r="C17" s="35"/>
      <c r="D17" s="35"/>
    </row>
    <row r="18" ht="30.0" customHeight="1">
      <c r="A18" s="31">
        <f t="shared" ref="A18:A26" si="2">A17+1</f>
        <v>16</v>
      </c>
      <c r="B18" s="35"/>
      <c r="C18" s="35"/>
      <c r="D18" s="35"/>
    </row>
    <row r="19" ht="30.0" customHeight="1">
      <c r="A19" s="31">
        <f t="shared" si="2"/>
        <v>17</v>
      </c>
      <c r="B19" s="35"/>
      <c r="C19" s="35"/>
      <c r="D19" s="35"/>
    </row>
    <row r="20" ht="30.0" customHeight="1">
      <c r="A20" s="31">
        <f t="shared" si="2"/>
        <v>18</v>
      </c>
      <c r="B20" s="35"/>
      <c r="C20" s="35"/>
      <c r="D20" s="35"/>
    </row>
    <row r="21" ht="30.0" customHeight="1">
      <c r="A21" s="31">
        <f t="shared" si="2"/>
        <v>19</v>
      </c>
      <c r="B21" s="35"/>
      <c r="C21" s="35"/>
      <c r="D21" s="35"/>
    </row>
    <row r="22" ht="30.0" customHeight="1">
      <c r="A22" s="31">
        <f t="shared" si="2"/>
        <v>20</v>
      </c>
      <c r="B22" s="35"/>
      <c r="C22" s="35"/>
      <c r="D22" s="35"/>
    </row>
    <row r="23" ht="30.0" customHeight="1">
      <c r="A23" s="31">
        <f t="shared" si="2"/>
        <v>21</v>
      </c>
      <c r="B23" s="35"/>
      <c r="C23" s="35"/>
      <c r="D23" s="35"/>
    </row>
    <row r="24" ht="30.0" customHeight="1">
      <c r="A24" s="31">
        <f t="shared" si="2"/>
        <v>22</v>
      </c>
      <c r="B24" s="35"/>
      <c r="C24" s="35"/>
      <c r="D24" s="35"/>
    </row>
    <row r="25" ht="30.0" customHeight="1">
      <c r="A25" s="31">
        <f t="shared" si="2"/>
        <v>23</v>
      </c>
      <c r="B25" s="35"/>
      <c r="C25" s="35"/>
      <c r="D25" s="35"/>
    </row>
    <row r="26" ht="30.0" customHeight="1">
      <c r="A26" s="31">
        <f t="shared" si="2"/>
        <v>24</v>
      </c>
      <c r="B26" s="35"/>
      <c r="C26" s="35"/>
      <c r="D26" s="35"/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41.88"/>
    <col customWidth="1" min="3" max="3" width="90.0"/>
    <col customWidth="1" min="4" max="4" width="11.75"/>
    <col customWidth="1" min="5" max="5" width="25.13"/>
    <col customWidth="1" min="6" max="6" width="10.13"/>
    <col customWidth="1" min="7" max="7" width="18.75"/>
  </cols>
  <sheetData>
    <row r="1">
      <c r="A1" s="7" t="s">
        <v>123</v>
      </c>
      <c r="H1" s="8"/>
      <c r="I1" s="8"/>
      <c r="J1" s="8"/>
    </row>
    <row r="2" ht="39.0" customHeight="1">
      <c r="A2" s="36" t="s">
        <v>10</v>
      </c>
      <c r="B2" s="36" t="s">
        <v>124</v>
      </c>
      <c r="C2" s="36" t="s">
        <v>125</v>
      </c>
      <c r="D2" s="37" t="s">
        <v>126</v>
      </c>
      <c r="E2" s="38"/>
      <c r="F2" s="37" t="s">
        <v>127</v>
      </c>
      <c r="G2" s="38"/>
      <c r="H2" s="39"/>
    </row>
    <row r="3" ht="22.5" customHeight="1">
      <c r="A3" s="40">
        <v>1.0</v>
      </c>
      <c r="B3" s="41" t="s">
        <v>128</v>
      </c>
      <c r="C3" s="42" t="s">
        <v>129</v>
      </c>
      <c r="D3" s="43" t="s">
        <v>130</v>
      </c>
      <c r="E3" s="44" t="s">
        <v>90</v>
      </c>
      <c r="F3" s="43" t="s">
        <v>131</v>
      </c>
      <c r="G3" s="45" t="s">
        <v>132</v>
      </c>
      <c r="H3" s="46"/>
      <c r="I3" s="47"/>
      <c r="J3" s="48"/>
      <c r="K3" s="48"/>
    </row>
    <row r="4" ht="22.5" customHeight="1">
      <c r="A4" s="49"/>
      <c r="B4" s="50"/>
      <c r="C4" s="50"/>
      <c r="D4" s="51" t="s">
        <v>133</v>
      </c>
      <c r="E4" s="44" t="s">
        <v>93</v>
      </c>
      <c r="F4" s="51" t="s">
        <v>134</v>
      </c>
      <c r="G4" s="52" t="s">
        <v>132</v>
      </c>
      <c r="I4" s="47"/>
      <c r="J4" s="53"/>
      <c r="K4" s="53"/>
    </row>
    <row r="5" ht="22.5" customHeight="1">
      <c r="A5" s="40">
        <v>2.0</v>
      </c>
      <c r="B5" s="41" t="s">
        <v>135</v>
      </c>
      <c r="C5" s="42" t="s">
        <v>136</v>
      </c>
      <c r="D5" s="43" t="s">
        <v>130</v>
      </c>
      <c r="E5" s="44" t="s">
        <v>93</v>
      </c>
      <c r="F5" s="43" t="s">
        <v>134</v>
      </c>
      <c r="G5" s="52" t="s">
        <v>132</v>
      </c>
      <c r="I5" s="47"/>
      <c r="J5" s="53"/>
    </row>
    <row r="6" ht="22.5" customHeight="1">
      <c r="A6" s="49"/>
      <c r="B6" s="50"/>
      <c r="C6" s="50"/>
      <c r="D6" s="51" t="s">
        <v>133</v>
      </c>
      <c r="E6" s="44" t="s">
        <v>96</v>
      </c>
      <c r="F6" s="51" t="s">
        <v>134</v>
      </c>
      <c r="G6" s="52" t="s">
        <v>132</v>
      </c>
      <c r="I6" s="47"/>
      <c r="J6" s="54"/>
      <c r="K6" s="54"/>
    </row>
    <row r="7" ht="22.5" customHeight="1">
      <c r="A7" s="40">
        <v>3.0</v>
      </c>
      <c r="B7" s="41" t="s">
        <v>137</v>
      </c>
      <c r="C7" s="42" t="s">
        <v>138</v>
      </c>
      <c r="D7" s="43" t="s">
        <v>130</v>
      </c>
      <c r="E7" s="44" t="s">
        <v>139</v>
      </c>
      <c r="F7" s="43" t="s">
        <v>131</v>
      </c>
      <c r="G7" s="55" t="s">
        <v>132</v>
      </c>
      <c r="I7" s="47"/>
      <c r="J7" s="54"/>
      <c r="K7" s="54"/>
    </row>
    <row r="8" ht="22.5" customHeight="1">
      <c r="A8" s="49"/>
      <c r="B8" s="50"/>
      <c r="C8" s="50"/>
      <c r="D8" s="51" t="s">
        <v>133</v>
      </c>
      <c r="E8" s="56" t="s">
        <v>96</v>
      </c>
      <c r="F8" s="51" t="s">
        <v>134</v>
      </c>
      <c r="G8" s="57" t="s">
        <v>132</v>
      </c>
      <c r="I8" s="47"/>
      <c r="J8" s="54"/>
      <c r="K8" s="54"/>
    </row>
    <row r="9" ht="22.5" customHeight="1">
      <c r="A9" s="40">
        <v>4.0</v>
      </c>
      <c r="B9" s="41" t="s">
        <v>140</v>
      </c>
      <c r="C9" s="42" t="s">
        <v>141</v>
      </c>
      <c r="D9" s="43" t="s">
        <v>130</v>
      </c>
      <c r="E9" s="44" t="s">
        <v>142</v>
      </c>
      <c r="F9" s="43" t="s">
        <v>131</v>
      </c>
      <c r="G9" s="55" t="s">
        <v>143</v>
      </c>
      <c r="I9" s="47"/>
      <c r="J9" s="54"/>
      <c r="K9" s="54"/>
    </row>
    <row r="10" ht="22.5" customHeight="1">
      <c r="A10" s="49"/>
      <c r="B10" s="50"/>
      <c r="C10" s="50"/>
      <c r="D10" s="51" t="s">
        <v>133</v>
      </c>
      <c r="E10" s="56" t="s">
        <v>144</v>
      </c>
      <c r="F10" s="51" t="s">
        <v>134</v>
      </c>
      <c r="G10" s="57" t="s">
        <v>132</v>
      </c>
      <c r="I10" s="47"/>
      <c r="J10" s="47"/>
      <c r="K10" s="47"/>
    </row>
    <row r="11" ht="22.5" customHeight="1">
      <c r="A11" s="40">
        <v>5.0</v>
      </c>
      <c r="B11" s="41" t="s">
        <v>145</v>
      </c>
      <c r="C11" s="42" t="s">
        <v>146</v>
      </c>
      <c r="D11" s="43" t="s">
        <v>130</v>
      </c>
      <c r="E11" s="44" t="s">
        <v>147</v>
      </c>
      <c r="F11" s="43" t="s">
        <v>131</v>
      </c>
      <c r="G11" s="55" t="s">
        <v>132</v>
      </c>
      <c r="I11" s="47"/>
      <c r="J11" s="48"/>
      <c r="K11" s="48"/>
    </row>
    <row r="12" ht="22.5" customHeight="1">
      <c r="A12" s="49"/>
      <c r="B12" s="50"/>
      <c r="C12" s="50"/>
      <c r="D12" s="51" t="s">
        <v>133</v>
      </c>
      <c r="E12" s="56" t="s">
        <v>139</v>
      </c>
      <c r="F12" s="51" t="s">
        <v>134</v>
      </c>
      <c r="G12" s="57" t="s">
        <v>132</v>
      </c>
      <c r="I12" s="47"/>
      <c r="J12" s="53"/>
      <c r="K12" s="53"/>
    </row>
    <row r="13" ht="22.5" customHeight="1">
      <c r="A13" s="40">
        <v>6.0</v>
      </c>
      <c r="B13" s="41" t="s">
        <v>148</v>
      </c>
      <c r="C13" s="42" t="s">
        <v>149</v>
      </c>
      <c r="D13" s="43" t="s">
        <v>130</v>
      </c>
      <c r="E13" s="44" t="s">
        <v>142</v>
      </c>
      <c r="F13" s="43" t="s">
        <v>131</v>
      </c>
      <c r="G13" s="55" t="s">
        <v>132</v>
      </c>
      <c r="I13" s="47"/>
      <c r="J13" s="53"/>
    </row>
    <row r="14" ht="22.5" customHeight="1">
      <c r="A14" s="49"/>
      <c r="B14" s="50"/>
      <c r="C14" s="50"/>
      <c r="D14" s="51" t="s">
        <v>133</v>
      </c>
      <c r="E14" s="56" t="s">
        <v>117</v>
      </c>
      <c r="F14" s="51" t="s">
        <v>134</v>
      </c>
      <c r="G14" s="57" t="s">
        <v>132</v>
      </c>
      <c r="I14" s="58"/>
      <c r="J14" s="54"/>
      <c r="K14" s="54"/>
    </row>
    <row r="15" ht="22.5" customHeight="1">
      <c r="A15" s="40">
        <v>7.0</v>
      </c>
      <c r="B15" s="41" t="s">
        <v>150</v>
      </c>
      <c r="C15" s="42" t="s">
        <v>151</v>
      </c>
      <c r="D15" s="43" t="s">
        <v>130</v>
      </c>
      <c r="E15" s="44" t="s">
        <v>147</v>
      </c>
      <c r="F15" s="43" t="s">
        <v>131</v>
      </c>
      <c r="G15" s="55" t="s">
        <v>132</v>
      </c>
      <c r="I15" s="47"/>
      <c r="J15" s="54"/>
      <c r="K15" s="54"/>
    </row>
    <row r="16" ht="22.5" customHeight="1">
      <c r="A16" s="49"/>
      <c r="B16" s="50"/>
      <c r="C16" s="50"/>
      <c r="D16" s="51" t="s">
        <v>133</v>
      </c>
      <c r="E16" s="56" t="s">
        <v>117</v>
      </c>
      <c r="F16" s="51" t="s">
        <v>134</v>
      </c>
      <c r="G16" s="57" t="s">
        <v>132</v>
      </c>
      <c r="I16" s="47"/>
      <c r="J16" s="54"/>
      <c r="K16" s="54"/>
    </row>
    <row r="17" ht="22.5" customHeight="1">
      <c r="A17" s="40">
        <v>8.0</v>
      </c>
      <c r="B17" s="41" t="s">
        <v>152</v>
      </c>
      <c r="C17" s="42" t="s">
        <v>153</v>
      </c>
      <c r="D17" s="43" t="s">
        <v>130</v>
      </c>
      <c r="E17" s="44" t="s">
        <v>108</v>
      </c>
      <c r="F17" s="43" t="s">
        <v>131</v>
      </c>
      <c r="G17" s="55" t="s">
        <v>143</v>
      </c>
      <c r="I17" s="59"/>
      <c r="J17" s="60"/>
      <c r="K17" s="60"/>
    </row>
    <row r="18" ht="22.5" customHeight="1">
      <c r="A18" s="49"/>
      <c r="B18" s="50"/>
      <c r="C18" s="50"/>
      <c r="D18" s="51" t="s">
        <v>133</v>
      </c>
      <c r="E18" s="56" t="s">
        <v>139</v>
      </c>
      <c r="F18" s="51" t="s">
        <v>134</v>
      </c>
      <c r="G18" s="57" t="s">
        <v>132</v>
      </c>
    </row>
    <row r="19" ht="22.5" customHeight="1">
      <c r="A19" s="40">
        <v>9.0</v>
      </c>
      <c r="B19" s="41" t="s">
        <v>154</v>
      </c>
      <c r="C19" s="42" t="s">
        <v>155</v>
      </c>
      <c r="D19" s="43" t="s">
        <v>130</v>
      </c>
      <c r="E19" s="56" t="s">
        <v>139</v>
      </c>
      <c r="F19" s="43" t="s">
        <v>131</v>
      </c>
      <c r="G19" s="57" t="s">
        <v>132</v>
      </c>
    </row>
    <row r="20" ht="22.5" customHeight="1">
      <c r="A20" s="49"/>
      <c r="B20" s="50"/>
      <c r="C20" s="50"/>
      <c r="D20" s="51" t="s">
        <v>133</v>
      </c>
      <c r="E20" s="56" t="s">
        <v>111</v>
      </c>
      <c r="F20" s="51" t="s">
        <v>134</v>
      </c>
      <c r="G20" s="57" t="s">
        <v>132</v>
      </c>
    </row>
    <row r="21" ht="22.5" customHeight="1">
      <c r="A21" s="40">
        <v>10.0</v>
      </c>
      <c r="B21" s="61"/>
      <c r="C21" s="62"/>
      <c r="D21" s="43" t="s">
        <v>130</v>
      </c>
      <c r="E21" s="63"/>
      <c r="F21" s="43" t="s">
        <v>131</v>
      </c>
      <c r="G21" s="64"/>
    </row>
    <row r="22" ht="22.5" customHeight="1">
      <c r="A22" s="49"/>
      <c r="B22" s="50"/>
      <c r="C22" s="50"/>
      <c r="D22" s="51" t="s">
        <v>133</v>
      </c>
      <c r="E22" s="65"/>
      <c r="F22" s="51" t="s">
        <v>134</v>
      </c>
      <c r="G22" s="66"/>
    </row>
    <row r="23" ht="22.5" customHeight="1">
      <c r="A23" s="40">
        <v>11.0</v>
      </c>
      <c r="B23" s="61"/>
      <c r="C23" s="62"/>
      <c r="D23" s="43" t="s">
        <v>130</v>
      </c>
      <c r="E23" s="63"/>
      <c r="F23" s="43" t="s">
        <v>131</v>
      </c>
      <c r="G23" s="64"/>
    </row>
    <row r="24" ht="22.5" customHeight="1">
      <c r="A24" s="49"/>
      <c r="B24" s="50"/>
      <c r="C24" s="50"/>
      <c r="D24" s="51" t="s">
        <v>133</v>
      </c>
      <c r="E24" s="65"/>
      <c r="F24" s="51" t="s">
        <v>134</v>
      </c>
      <c r="G24" s="66"/>
    </row>
    <row r="25" ht="22.5" customHeight="1">
      <c r="A25" s="40">
        <v>12.0</v>
      </c>
      <c r="B25" s="62"/>
      <c r="C25" s="62"/>
      <c r="D25" s="43" t="s">
        <v>130</v>
      </c>
      <c r="E25" s="63"/>
      <c r="F25" s="43" t="s">
        <v>131</v>
      </c>
      <c r="G25" s="64"/>
    </row>
    <row r="26" ht="22.5" customHeight="1">
      <c r="A26" s="49"/>
      <c r="B26" s="50"/>
      <c r="C26" s="50"/>
      <c r="D26" s="51" t="s">
        <v>133</v>
      </c>
      <c r="E26" s="65"/>
      <c r="F26" s="51" t="s">
        <v>134</v>
      </c>
      <c r="G26" s="66"/>
    </row>
    <row r="27" ht="22.5" customHeight="1">
      <c r="A27" s="40">
        <v>13.0</v>
      </c>
      <c r="B27" s="62"/>
      <c r="C27" s="62"/>
      <c r="D27" s="43" t="s">
        <v>130</v>
      </c>
      <c r="E27" s="63"/>
      <c r="F27" s="43" t="s">
        <v>131</v>
      </c>
      <c r="G27" s="64"/>
    </row>
    <row r="28" ht="22.5" customHeight="1">
      <c r="A28" s="49"/>
      <c r="B28" s="50"/>
      <c r="C28" s="50"/>
      <c r="D28" s="51" t="s">
        <v>133</v>
      </c>
      <c r="E28" s="65"/>
      <c r="F28" s="51" t="s">
        <v>134</v>
      </c>
      <c r="G28" s="66"/>
    </row>
    <row r="29" ht="22.5" customHeight="1">
      <c r="A29" s="40">
        <v>14.0</v>
      </c>
      <c r="B29" s="62"/>
      <c r="C29" s="62"/>
      <c r="D29" s="43" t="s">
        <v>130</v>
      </c>
      <c r="E29" s="63"/>
      <c r="F29" s="43" t="s">
        <v>131</v>
      </c>
      <c r="G29" s="64"/>
    </row>
    <row r="30" ht="22.5" customHeight="1">
      <c r="A30" s="49"/>
      <c r="B30" s="50"/>
      <c r="C30" s="50"/>
      <c r="D30" s="51" t="s">
        <v>133</v>
      </c>
      <c r="E30" s="65"/>
      <c r="F30" s="51" t="s">
        <v>134</v>
      </c>
      <c r="G30" s="66"/>
    </row>
    <row r="31" ht="22.5" customHeight="1">
      <c r="A31" s="40">
        <v>15.0</v>
      </c>
      <c r="B31" s="62"/>
      <c r="C31" s="62"/>
      <c r="D31" s="43" t="s">
        <v>130</v>
      </c>
      <c r="E31" s="63"/>
      <c r="F31" s="43" t="s">
        <v>131</v>
      </c>
      <c r="G31" s="64"/>
    </row>
    <row r="32" ht="22.5" customHeight="1">
      <c r="A32" s="49"/>
      <c r="B32" s="50"/>
      <c r="C32" s="50"/>
      <c r="D32" s="51" t="s">
        <v>133</v>
      </c>
      <c r="E32" s="65"/>
      <c r="F32" s="51" t="s">
        <v>134</v>
      </c>
      <c r="G32" s="66"/>
    </row>
  </sheetData>
  <mergeCells count="50"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  <mergeCell ref="B31:B32"/>
    <mergeCell ref="C31:C32"/>
    <mergeCell ref="A27:A28"/>
    <mergeCell ref="B27:B28"/>
    <mergeCell ref="C27:C28"/>
    <mergeCell ref="A29:A30"/>
    <mergeCell ref="B29:B30"/>
    <mergeCell ref="C29:C30"/>
    <mergeCell ref="A31:A32"/>
    <mergeCell ref="B5:B6"/>
    <mergeCell ref="C5:C6"/>
    <mergeCell ref="J5:K5"/>
    <mergeCell ref="A1:G1"/>
    <mergeCell ref="D2:E2"/>
    <mergeCell ref="F2:G2"/>
    <mergeCell ref="A3:A4"/>
    <mergeCell ref="B3:B4"/>
    <mergeCell ref="C3:C4"/>
    <mergeCell ref="A5:A6"/>
    <mergeCell ref="B11:B12"/>
    <mergeCell ref="C11:C12"/>
    <mergeCell ref="A13:A14"/>
    <mergeCell ref="B13:B14"/>
    <mergeCell ref="C13:C14"/>
    <mergeCell ref="J13:K13"/>
    <mergeCell ref="A7:A8"/>
    <mergeCell ref="B7:B8"/>
    <mergeCell ref="C7:C8"/>
    <mergeCell ref="A9:A10"/>
    <mergeCell ref="B9:B10"/>
    <mergeCell ref="C9:C10"/>
    <mergeCell ref="A11:A12"/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2.25" customHeight="1">
      <c r="A1" s="67" t="s">
        <v>156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9"/>
    </row>
    <row r="2">
      <c r="A2" s="70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38"/>
    </row>
    <row r="3">
      <c r="A3" s="72"/>
      <c r="S3" s="73"/>
    </row>
    <row r="4">
      <c r="A4" s="72"/>
      <c r="S4" s="73"/>
    </row>
    <row r="5">
      <c r="A5" s="72"/>
      <c r="S5" s="73"/>
    </row>
    <row r="6">
      <c r="A6" s="72"/>
      <c r="S6" s="73"/>
    </row>
    <row r="7">
      <c r="A7" s="72"/>
      <c r="S7" s="73"/>
    </row>
    <row r="8">
      <c r="A8" s="72"/>
      <c r="S8" s="73"/>
    </row>
    <row r="9">
      <c r="A9" s="72"/>
      <c r="S9" s="73"/>
    </row>
    <row r="10">
      <c r="A10" s="72"/>
      <c r="S10" s="73"/>
    </row>
    <row r="11">
      <c r="A11" s="72"/>
      <c r="S11" s="73"/>
    </row>
    <row r="12">
      <c r="A12" s="72"/>
      <c r="S12" s="73"/>
    </row>
    <row r="13">
      <c r="A13" s="72"/>
      <c r="S13" s="73"/>
    </row>
    <row r="14">
      <c r="A14" s="72"/>
      <c r="S14" s="73"/>
    </row>
    <row r="15">
      <c r="A15" s="72"/>
      <c r="S15" s="73"/>
    </row>
    <row r="16">
      <c r="A16" s="72"/>
      <c r="S16" s="73"/>
    </row>
    <row r="17">
      <c r="A17" s="72"/>
      <c r="S17" s="73"/>
    </row>
    <row r="18">
      <c r="A18" s="72"/>
      <c r="S18" s="73"/>
    </row>
    <row r="19">
      <c r="A19" s="72"/>
      <c r="S19" s="73"/>
    </row>
    <row r="20">
      <c r="A20" s="72"/>
      <c r="S20" s="73"/>
    </row>
    <row r="21">
      <c r="A21" s="72"/>
      <c r="S21" s="73"/>
    </row>
    <row r="22">
      <c r="A22" s="72"/>
      <c r="S22" s="73"/>
    </row>
    <row r="23">
      <c r="A23" s="72"/>
      <c r="S23" s="73"/>
    </row>
    <row r="24">
      <c r="A24" s="72"/>
      <c r="S24" s="73"/>
    </row>
    <row r="25">
      <c r="A25" s="72"/>
      <c r="S25" s="73"/>
    </row>
    <row r="26">
      <c r="A26" s="72"/>
      <c r="S26" s="73"/>
    </row>
    <row r="27">
      <c r="A27" s="72"/>
      <c r="S27" s="73"/>
    </row>
    <row r="28">
      <c r="A28" s="72"/>
      <c r="S28" s="73"/>
    </row>
    <row r="29">
      <c r="A29" s="72"/>
      <c r="S29" s="73"/>
    </row>
    <row r="30">
      <c r="A30" s="72"/>
      <c r="S30" s="73"/>
    </row>
    <row r="31">
      <c r="A31" s="72"/>
      <c r="S31" s="73"/>
    </row>
    <row r="32">
      <c r="A32" s="72"/>
      <c r="S32" s="73"/>
    </row>
    <row r="33">
      <c r="A33" s="72"/>
      <c r="S33" s="73"/>
    </row>
    <row r="34">
      <c r="A34" s="72"/>
      <c r="S34" s="73"/>
    </row>
    <row r="35">
      <c r="A35" s="72"/>
      <c r="S35" s="73"/>
    </row>
    <row r="36">
      <c r="A36" s="72"/>
      <c r="S36" s="73"/>
    </row>
    <row r="37">
      <c r="A37" s="72"/>
      <c r="S37" s="73"/>
    </row>
    <row r="38">
      <c r="A38" s="72"/>
      <c r="S38" s="73"/>
    </row>
    <row r="39">
      <c r="A39" s="72"/>
      <c r="S39" s="73"/>
    </row>
    <row r="40">
      <c r="A40" s="72"/>
      <c r="S40" s="73"/>
    </row>
    <row r="41">
      <c r="A41" s="72"/>
      <c r="S41" s="73"/>
    </row>
    <row r="42">
      <c r="A42" s="72"/>
      <c r="S42" s="73"/>
    </row>
    <row r="43">
      <c r="A43" s="72"/>
      <c r="S43" s="73"/>
    </row>
    <row r="44">
      <c r="A44" s="72"/>
      <c r="S44" s="73"/>
    </row>
    <row r="45">
      <c r="A45" s="72"/>
      <c r="S45" s="73"/>
    </row>
    <row r="46">
      <c r="A46" s="72"/>
      <c r="S46" s="73"/>
    </row>
    <row r="47">
      <c r="A47" s="72"/>
      <c r="S47" s="73"/>
    </row>
    <row r="48">
      <c r="A48" s="72"/>
      <c r="S48" s="73"/>
    </row>
    <row r="49">
      <c r="A49" s="72"/>
      <c r="S49" s="73"/>
    </row>
    <row r="50">
      <c r="A50" s="74"/>
      <c r="B50" s="75"/>
      <c r="C50" s="75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6"/>
    </row>
  </sheetData>
  <mergeCells count="2">
    <mergeCell ref="A1:S1"/>
    <mergeCell ref="A2:S5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31.63"/>
    <col customWidth="1" min="4" max="4" width="35.63"/>
    <col customWidth="1" min="5" max="9" width="31.38"/>
  </cols>
  <sheetData>
    <row r="1">
      <c r="A1" s="7" t="s">
        <v>157</v>
      </c>
    </row>
    <row r="2">
      <c r="A2" s="77" t="s">
        <v>158</v>
      </c>
      <c r="B2" s="78" t="s">
        <v>159</v>
      </c>
      <c r="C2" s="79"/>
      <c r="D2" s="79"/>
      <c r="E2" s="79"/>
      <c r="F2" s="79"/>
      <c r="G2" s="79"/>
      <c r="H2" s="79"/>
      <c r="I2" s="2"/>
    </row>
    <row r="3">
      <c r="A3" s="80">
        <v>1.0</v>
      </c>
      <c r="B3" s="81"/>
      <c r="C3" s="79"/>
      <c r="D3" s="79"/>
      <c r="E3" s="79"/>
      <c r="F3" s="79"/>
      <c r="G3" s="79"/>
      <c r="H3" s="79"/>
      <c r="I3" s="2"/>
    </row>
    <row r="4">
      <c r="A4" s="80">
        <v>2.0</v>
      </c>
      <c r="B4" s="81"/>
      <c r="C4" s="79"/>
      <c r="D4" s="79"/>
      <c r="E4" s="79"/>
      <c r="F4" s="79"/>
      <c r="G4" s="79"/>
      <c r="H4" s="79"/>
      <c r="I4" s="2"/>
    </row>
    <row r="5">
      <c r="A5" s="80">
        <v>3.0</v>
      </c>
      <c r="B5" s="81"/>
      <c r="C5" s="79"/>
      <c r="D5" s="79"/>
      <c r="E5" s="79"/>
      <c r="F5" s="79"/>
      <c r="G5" s="79"/>
      <c r="H5" s="79"/>
      <c r="I5" s="2"/>
    </row>
    <row r="6">
      <c r="A6" s="80">
        <v>4.0</v>
      </c>
      <c r="B6" s="81"/>
      <c r="C6" s="79"/>
      <c r="D6" s="79"/>
      <c r="E6" s="79"/>
      <c r="F6" s="79"/>
      <c r="G6" s="79"/>
      <c r="H6" s="79"/>
      <c r="I6" s="2"/>
    </row>
    <row r="7">
      <c r="A7" s="82" t="s">
        <v>160</v>
      </c>
      <c r="E7" s="83" t="s">
        <v>161</v>
      </c>
    </row>
    <row r="8">
      <c r="A8" s="84" t="s">
        <v>162</v>
      </c>
      <c r="B8" s="77" t="s">
        <v>10</v>
      </c>
      <c r="C8" s="77" t="s">
        <v>163</v>
      </c>
      <c r="D8" s="77" t="s">
        <v>164</v>
      </c>
      <c r="E8" s="85" t="s">
        <v>165</v>
      </c>
      <c r="F8" s="85" t="s">
        <v>166</v>
      </c>
      <c r="G8" s="85" t="s">
        <v>167</v>
      </c>
      <c r="H8" s="85" t="s">
        <v>168</v>
      </c>
      <c r="I8" s="85" t="s">
        <v>169</v>
      </c>
    </row>
    <row r="9">
      <c r="A9" s="86" t="s">
        <v>170</v>
      </c>
      <c r="B9" s="87">
        <v>1.0</v>
      </c>
      <c r="C9" s="88" t="s">
        <v>171</v>
      </c>
      <c r="D9" s="6"/>
      <c r="E9" s="89">
        <v>1.020498922E9</v>
      </c>
      <c r="F9" s="89">
        <v>7.1589632E7</v>
      </c>
      <c r="G9" s="89">
        <v>3.2854123E7</v>
      </c>
      <c r="H9" s="89">
        <v>8.0123456E7</v>
      </c>
      <c r="I9" s="89">
        <v>1.017896541E9</v>
      </c>
    </row>
    <row r="10">
      <c r="A10" s="86" t="s">
        <v>172</v>
      </c>
      <c r="B10" s="87">
        <f t="shared" ref="B10:B48" si="1">B9+1</f>
        <v>2</v>
      </c>
      <c r="C10" s="88" t="s">
        <v>16</v>
      </c>
      <c r="D10" s="90"/>
      <c r="E10" s="91" t="s">
        <v>173</v>
      </c>
      <c r="F10" s="89" t="s">
        <v>174</v>
      </c>
      <c r="G10" s="89" t="s">
        <v>175</v>
      </c>
      <c r="H10" s="89" t="s">
        <v>176</v>
      </c>
      <c r="I10" s="89" t="s">
        <v>177</v>
      </c>
    </row>
    <row r="11">
      <c r="A11" s="86" t="s">
        <v>178</v>
      </c>
      <c r="B11" s="87">
        <f t="shared" si="1"/>
        <v>3</v>
      </c>
      <c r="C11" s="88" t="s">
        <v>179</v>
      </c>
      <c r="D11" s="90"/>
      <c r="E11" s="91" t="s">
        <v>180</v>
      </c>
      <c r="F11" s="89" t="s">
        <v>181</v>
      </c>
      <c r="G11" s="89" t="s">
        <v>182</v>
      </c>
      <c r="H11" s="89" t="s">
        <v>183</v>
      </c>
      <c r="I11" s="89" t="s">
        <v>184</v>
      </c>
    </row>
    <row r="12">
      <c r="A12" s="86" t="s">
        <v>185</v>
      </c>
      <c r="B12" s="87">
        <f t="shared" si="1"/>
        <v>4</v>
      </c>
      <c r="C12" s="88" t="s">
        <v>186</v>
      </c>
      <c r="D12" s="90"/>
      <c r="E12" s="91" t="s">
        <v>187</v>
      </c>
      <c r="F12" s="89" t="s">
        <v>188</v>
      </c>
      <c r="G12" s="89" t="s">
        <v>187</v>
      </c>
      <c r="H12" s="89" t="s">
        <v>189</v>
      </c>
      <c r="I12" s="89" t="s">
        <v>187</v>
      </c>
    </row>
    <row r="13">
      <c r="A13" s="86" t="s">
        <v>190</v>
      </c>
      <c r="B13" s="87">
        <f t="shared" si="1"/>
        <v>5</v>
      </c>
      <c r="C13" s="88" t="s">
        <v>23</v>
      </c>
      <c r="D13" s="90"/>
      <c r="E13" s="91" t="s">
        <v>191</v>
      </c>
      <c r="F13" s="89" t="s">
        <v>191</v>
      </c>
      <c r="G13" s="89" t="s">
        <v>192</v>
      </c>
      <c r="H13" s="89" t="s">
        <v>193</v>
      </c>
      <c r="I13" s="89" t="s">
        <v>191</v>
      </c>
    </row>
    <row r="14">
      <c r="A14" s="86" t="s">
        <v>194</v>
      </c>
      <c r="B14" s="87">
        <f t="shared" si="1"/>
        <v>6</v>
      </c>
      <c r="C14" s="88" t="s">
        <v>195</v>
      </c>
      <c r="D14" s="6"/>
      <c r="E14" s="91" t="s">
        <v>196</v>
      </c>
      <c r="F14" s="89" t="s">
        <v>197</v>
      </c>
      <c r="G14" s="89" t="s">
        <v>198</v>
      </c>
      <c r="H14" s="89" t="s">
        <v>199</v>
      </c>
      <c r="I14" s="89" t="s">
        <v>196</v>
      </c>
    </row>
    <row r="15">
      <c r="A15" s="86" t="s">
        <v>200</v>
      </c>
      <c r="B15" s="87">
        <f t="shared" si="1"/>
        <v>7</v>
      </c>
      <c r="C15" s="88" t="s">
        <v>201</v>
      </c>
      <c r="D15" s="6"/>
      <c r="E15" s="92">
        <v>45717.0</v>
      </c>
      <c r="F15" s="93">
        <v>45721.0</v>
      </c>
      <c r="G15" s="93">
        <v>45724.0</v>
      </c>
      <c r="H15" s="93">
        <v>45726.0</v>
      </c>
      <c r="I15" s="93">
        <v>45728.0</v>
      </c>
    </row>
    <row r="16">
      <c r="A16" s="86" t="s">
        <v>202</v>
      </c>
      <c r="B16" s="87">
        <f t="shared" si="1"/>
        <v>8</v>
      </c>
      <c r="C16" s="88" t="s">
        <v>203</v>
      </c>
      <c r="D16" s="6"/>
      <c r="E16" s="91" t="s">
        <v>204</v>
      </c>
      <c r="F16" s="89" t="s">
        <v>205</v>
      </c>
      <c r="G16" s="89" t="s">
        <v>42</v>
      </c>
      <c r="H16" s="89" t="s">
        <v>206</v>
      </c>
      <c r="I16" s="89" t="s">
        <v>205</v>
      </c>
    </row>
    <row r="17">
      <c r="A17" s="86" t="s">
        <v>207</v>
      </c>
      <c r="B17" s="87">
        <f t="shared" si="1"/>
        <v>9</v>
      </c>
      <c r="C17" s="88" t="s">
        <v>208</v>
      </c>
      <c r="D17" s="6"/>
      <c r="E17" s="91" t="s">
        <v>209</v>
      </c>
      <c r="F17" s="89" t="s">
        <v>210</v>
      </c>
      <c r="G17" s="89" t="s">
        <v>209</v>
      </c>
      <c r="H17" s="89" t="s">
        <v>211</v>
      </c>
      <c r="I17" s="89" t="s">
        <v>212</v>
      </c>
    </row>
    <row r="18">
      <c r="A18" s="86" t="s">
        <v>213</v>
      </c>
      <c r="B18" s="87">
        <f t="shared" si="1"/>
        <v>10</v>
      </c>
      <c r="C18" s="88" t="s">
        <v>214</v>
      </c>
      <c r="D18" s="6"/>
      <c r="E18" s="91" t="s">
        <v>215</v>
      </c>
      <c r="F18" s="89"/>
      <c r="G18" s="89"/>
      <c r="H18" s="89"/>
      <c r="I18" s="89"/>
    </row>
    <row r="19">
      <c r="A19" s="86" t="s">
        <v>216</v>
      </c>
      <c r="B19" s="87">
        <f t="shared" si="1"/>
        <v>11</v>
      </c>
      <c r="C19" s="88" t="s">
        <v>217</v>
      </c>
      <c r="D19" s="6"/>
      <c r="E19" s="91" t="s">
        <v>218</v>
      </c>
      <c r="F19" s="89"/>
      <c r="G19" s="89"/>
      <c r="H19" s="89"/>
      <c r="I19" s="89"/>
    </row>
    <row r="20">
      <c r="A20" s="86" t="s">
        <v>219</v>
      </c>
      <c r="B20" s="87">
        <f t="shared" si="1"/>
        <v>12</v>
      </c>
      <c r="C20" s="88" t="s">
        <v>220</v>
      </c>
      <c r="D20" s="6"/>
      <c r="E20" s="91" t="s">
        <v>221</v>
      </c>
      <c r="F20" s="89" t="s">
        <v>222</v>
      </c>
      <c r="G20" s="89" t="s">
        <v>223</v>
      </c>
      <c r="H20" s="89" t="s">
        <v>224</v>
      </c>
      <c r="I20" s="89" t="s">
        <v>225</v>
      </c>
    </row>
    <row r="21">
      <c r="A21" s="86" t="s">
        <v>226</v>
      </c>
      <c r="B21" s="87">
        <f t="shared" si="1"/>
        <v>13</v>
      </c>
      <c r="C21" s="88" t="s">
        <v>227</v>
      </c>
      <c r="D21" s="6"/>
      <c r="E21" s="94" t="s">
        <v>228</v>
      </c>
      <c r="F21" s="89" t="s">
        <v>229</v>
      </c>
      <c r="G21" s="89" t="s">
        <v>230</v>
      </c>
      <c r="H21" s="89"/>
      <c r="I21" s="89" t="s">
        <v>231</v>
      </c>
    </row>
    <row r="22">
      <c r="A22" s="86" t="s">
        <v>232</v>
      </c>
      <c r="B22" s="87">
        <f t="shared" si="1"/>
        <v>14</v>
      </c>
      <c r="C22" s="88" t="s">
        <v>233</v>
      </c>
      <c r="D22" s="6"/>
      <c r="E22" s="91" t="s">
        <v>234</v>
      </c>
      <c r="F22" s="93">
        <v>45722.0</v>
      </c>
      <c r="G22" s="89" t="s">
        <v>235</v>
      </c>
      <c r="H22" s="89"/>
      <c r="I22" s="93">
        <v>45729.0</v>
      </c>
    </row>
    <row r="23">
      <c r="A23" s="86" t="s">
        <v>236</v>
      </c>
      <c r="B23" s="87">
        <f t="shared" si="1"/>
        <v>15</v>
      </c>
      <c r="C23" s="6"/>
      <c r="D23" s="6"/>
      <c r="E23" s="6"/>
      <c r="F23" s="6"/>
      <c r="G23" s="6"/>
      <c r="H23" s="6"/>
      <c r="I23" s="6"/>
    </row>
    <row r="24">
      <c r="A24" s="86" t="s">
        <v>237</v>
      </c>
      <c r="B24" s="87">
        <f t="shared" si="1"/>
        <v>16</v>
      </c>
      <c r="C24" s="6"/>
      <c r="D24" s="6"/>
      <c r="E24" s="6"/>
      <c r="F24" s="6"/>
      <c r="G24" s="6"/>
      <c r="H24" s="6"/>
      <c r="I24" s="6"/>
    </row>
    <row r="25">
      <c r="A25" s="86" t="s">
        <v>238</v>
      </c>
      <c r="B25" s="87">
        <f t="shared" si="1"/>
        <v>17</v>
      </c>
      <c r="C25" s="6"/>
      <c r="D25" s="6"/>
      <c r="E25" s="6"/>
      <c r="F25" s="6"/>
      <c r="G25" s="6"/>
      <c r="H25" s="6"/>
      <c r="I25" s="6"/>
    </row>
    <row r="26">
      <c r="A26" s="86" t="s">
        <v>239</v>
      </c>
      <c r="B26" s="87">
        <f t="shared" si="1"/>
        <v>18</v>
      </c>
      <c r="C26" s="6"/>
      <c r="D26" s="6"/>
      <c r="E26" s="6"/>
      <c r="F26" s="6"/>
      <c r="G26" s="6"/>
      <c r="H26" s="6"/>
      <c r="I26" s="6"/>
    </row>
    <row r="27">
      <c r="A27" s="86" t="s">
        <v>240</v>
      </c>
      <c r="B27" s="87">
        <f t="shared" si="1"/>
        <v>19</v>
      </c>
      <c r="C27" s="6"/>
      <c r="D27" s="6"/>
      <c r="E27" s="6"/>
      <c r="F27" s="6"/>
      <c r="G27" s="6"/>
      <c r="H27" s="6"/>
      <c r="I27" s="6"/>
    </row>
    <row r="28">
      <c r="A28" s="86" t="s">
        <v>241</v>
      </c>
      <c r="B28" s="87">
        <f t="shared" si="1"/>
        <v>20</v>
      </c>
      <c r="C28" s="6"/>
      <c r="D28" s="6"/>
      <c r="E28" s="6"/>
      <c r="F28" s="6"/>
      <c r="G28" s="6"/>
      <c r="H28" s="6"/>
      <c r="I28" s="6"/>
    </row>
    <row r="29">
      <c r="A29" s="86" t="s">
        <v>242</v>
      </c>
      <c r="B29" s="87">
        <f t="shared" si="1"/>
        <v>21</v>
      </c>
      <c r="C29" s="6"/>
      <c r="D29" s="6"/>
      <c r="E29" s="6"/>
      <c r="F29" s="6"/>
      <c r="G29" s="6"/>
      <c r="H29" s="6"/>
      <c r="I29" s="6"/>
    </row>
    <row r="30">
      <c r="A30" s="86" t="s">
        <v>243</v>
      </c>
      <c r="B30" s="87">
        <f t="shared" si="1"/>
        <v>22</v>
      </c>
      <c r="C30" s="6"/>
      <c r="D30" s="6"/>
      <c r="E30" s="6"/>
      <c r="F30" s="6"/>
      <c r="G30" s="6"/>
      <c r="H30" s="6"/>
      <c r="I30" s="6"/>
    </row>
    <row r="31">
      <c r="A31" s="86" t="s">
        <v>244</v>
      </c>
      <c r="B31" s="87">
        <f t="shared" si="1"/>
        <v>23</v>
      </c>
      <c r="C31" s="6"/>
      <c r="D31" s="6"/>
      <c r="E31" s="6"/>
      <c r="F31" s="6"/>
      <c r="G31" s="6"/>
      <c r="H31" s="6"/>
      <c r="I31" s="6"/>
    </row>
    <row r="32">
      <c r="A32" s="86" t="s">
        <v>245</v>
      </c>
      <c r="B32" s="87">
        <f t="shared" si="1"/>
        <v>24</v>
      </c>
      <c r="C32" s="6"/>
      <c r="D32" s="6"/>
      <c r="E32" s="6"/>
      <c r="F32" s="6"/>
      <c r="G32" s="6"/>
      <c r="H32" s="6"/>
      <c r="I32" s="6"/>
    </row>
    <row r="33">
      <c r="A33" s="86" t="s">
        <v>246</v>
      </c>
      <c r="B33" s="87">
        <f t="shared" si="1"/>
        <v>25</v>
      </c>
      <c r="C33" s="6"/>
      <c r="D33" s="6"/>
      <c r="E33" s="6"/>
      <c r="F33" s="6"/>
      <c r="G33" s="6"/>
      <c r="H33" s="6"/>
      <c r="I33" s="6"/>
    </row>
    <row r="34">
      <c r="A34" s="86" t="s">
        <v>247</v>
      </c>
      <c r="B34" s="87">
        <f t="shared" si="1"/>
        <v>26</v>
      </c>
      <c r="C34" s="6"/>
      <c r="D34" s="6"/>
      <c r="E34" s="6"/>
      <c r="F34" s="6"/>
      <c r="G34" s="6"/>
      <c r="H34" s="6"/>
      <c r="I34" s="6"/>
    </row>
    <row r="35">
      <c r="A35" s="86" t="s">
        <v>248</v>
      </c>
      <c r="B35" s="87">
        <f t="shared" si="1"/>
        <v>27</v>
      </c>
      <c r="C35" s="6"/>
      <c r="D35" s="6"/>
      <c r="E35" s="6"/>
      <c r="F35" s="6"/>
      <c r="G35" s="6"/>
      <c r="H35" s="6"/>
      <c r="I35" s="6"/>
    </row>
    <row r="36">
      <c r="A36" s="86" t="s">
        <v>249</v>
      </c>
      <c r="B36" s="87">
        <f t="shared" si="1"/>
        <v>28</v>
      </c>
      <c r="C36" s="6"/>
      <c r="D36" s="6"/>
      <c r="E36" s="6"/>
      <c r="F36" s="6"/>
      <c r="G36" s="6"/>
      <c r="H36" s="6"/>
      <c r="I36" s="6"/>
    </row>
    <row r="37">
      <c r="A37" s="86" t="s">
        <v>250</v>
      </c>
      <c r="B37" s="87">
        <f t="shared" si="1"/>
        <v>29</v>
      </c>
      <c r="C37" s="6"/>
      <c r="D37" s="6"/>
      <c r="E37" s="6"/>
      <c r="F37" s="6"/>
      <c r="G37" s="6"/>
      <c r="H37" s="6"/>
      <c r="I37" s="6"/>
    </row>
    <row r="38">
      <c r="A38" s="86" t="s">
        <v>251</v>
      </c>
      <c r="B38" s="87">
        <f t="shared" si="1"/>
        <v>30</v>
      </c>
      <c r="C38" s="6"/>
      <c r="D38" s="6"/>
      <c r="E38" s="6"/>
      <c r="F38" s="6"/>
      <c r="G38" s="6"/>
      <c r="H38" s="6"/>
      <c r="I38" s="6"/>
    </row>
    <row r="39">
      <c r="A39" s="86" t="s">
        <v>252</v>
      </c>
      <c r="B39" s="87">
        <f t="shared" si="1"/>
        <v>31</v>
      </c>
      <c r="C39" s="6"/>
      <c r="D39" s="6"/>
      <c r="E39" s="6"/>
      <c r="F39" s="6"/>
      <c r="G39" s="6"/>
      <c r="H39" s="6"/>
      <c r="I39" s="6"/>
    </row>
    <row r="40">
      <c r="A40" s="86" t="s">
        <v>253</v>
      </c>
      <c r="B40" s="87">
        <f t="shared" si="1"/>
        <v>32</v>
      </c>
      <c r="C40" s="6"/>
      <c r="D40" s="6"/>
      <c r="E40" s="6"/>
      <c r="F40" s="6"/>
      <c r="G40" s="6"/>
      <c r="H40" s="6"/>
      <c r="I40" s="6"/>
    </row>
    <row r="41">
      <c r="A41" s="95" t="s">
        <v>254</v>
      </c>
      <c r="B41" s="87">
        <f t="shared" si="1"/>
        <v>33</v>
      </c>
      <c r="C41" s="6"/>
      <c r="D41" s="6"/>
      <c r="E41" s="6"/>
      <c r="F41" s="6"/>
      <c r="G41" s="6"/>
      <c r="H41" s="6"/>
      <c r="I41" s="6"/>
    </row>
    <row r="42">
      <c r="A42" s="95" t="s">
        <v>255</v>
      </c>
      <c r="B42" s="87">
        <f t="shared" si="1"/>
        <v>34</v>
      </c>
      <c r="C42" s="6"/>
      <c r="D42" s="6"/>
      <c r="E42" s="6"/>
      <c r="F42" s="6"/>
      <c r="G42" s="6"/>
      <c r="H42" s="6"/>
      <c r="I42" s="6"/>
    </row>
    <row r="43">
      <c r="A43" s="95" t="s">
        <v>256</v>
      </c>
      <c r="B43" s="87">
        <f t="shared" si="1"/>
        <v>35</v>
      </c>
      <c r="C43" s="6"/>
      <c r="D43" s="6"/>
      <c r="E43" s="6"/>
      <c r="F43" s="6"/>
      <c r="G43" s="6"/>
      <c r="H43" s="6"/>
      <c r="I43" s="6"/>
    </row>
    <row r="44">
      <c r="A44" s="95" t="s">
        <v>257</v>
      </c>
      <c r="B44" s="87">
        <f t="shared" si="1"/>
        <v>36</v>
      </c>
      <c r="C44" s="6"/>
      <c r="D44" s="6"/>
      <c r="E44" s="6"/>
      <c r="F44" s="6"/>
      <c r="G44" s="6"/>
      <c r="H44" s="6"/>
      <c r="I44" s="6"/>
    </row>
    <row r="45">
      <c r="A45" s="95" t="s">
        <v>258</v>
      </c>
      <c r="B45" s="87">
        <f t="shared" si="1"/>
        <v>37</v>
      </c>
      <c r="C45" s="6"/>
      <c r="D45" s="6"/>
      <c r="E45" s="6"/>
      <c r="F45" s="6"/>
      <c r="G45" s="6"/>
      <c r="H45" s="6"/>
      <c r="I45" s="6"/>
    </row>
    <row r="46">
      <c r="A46" s="95" t="s">
        <v>259</v>
      </c>
      <c r="B46" s="87">
        <f t="shared" si="1"/>
        <v>38</v>
      </c>
      <c r="C46" s="6"/>
      <c r="D46" s="6"/>
      <c r="E46" s="6"/>
      <c r="F46" s="6"/>
      <c r="G46" s="6"/>
      <c r="H46" s="6"/>
      <c r="I46" s="6"/>
    </row>
    <row r="47">
      <c r="A47" s="95" t="s">
        <v>260</v>
      </c>
      <c r="B47" s="87">
        <f t="shared" si="1"/>
        <v>39</v>
      </c>
      <c r="C47" s="6"/>
      <c r="D47" s="6"/>
      <c r="E47" s="6"/>
      <c r="F47" s="6"/>
      <c r="G47" s="6"/>
      <c r="H47" s="6"/>
      <c r="I47" s="6"/>
    </row>
    <row r="48">
      <c r="A48" s="95" t="s">
        <v>261</v>
      </c>
      <c r="B48" s="87">
        <f t="shared" si="1"/>
        <v>40</v>
      </c>
      <c r="C48" s="6"/>
      <c r="D48" s="6"/>
      <c r="E48" s="6"/>
      <c r="F48" s="6"/>
      <c r="G48" s="6"/>
      <c r="H48" s="6"/>
      <c r="I48" s="6"/>
    </row>
    <row r="980">
      <c r="F980" s="96" t="s">
        <v>262</v>
      </c>
    </row>
  </sheetData>
  <mergeCells count="8">
    <mergeCell ref="A1:I1"/>
    <mergeCell ref="B2:I2"/>
    <mergeCell ref="B3:I3"/>
    <mergeCell ref="B4:I4"/>
    <mergeCell ref="B5:I5"/>
    <mergeCell ref="B6:I6"/>
    <mergeCell ref="A7:D7"/>
    <mergeCell ref="E7:I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31.63"/>
    <col customWidth="1" min="4" max="4" width="35.63"/>
    <col customWidth="1" min="5" max="9" width="31.38"/>
    <col customWidth="1" min="10" max="10" width="26.88"/>
    <col customWidth="1" min="11" max="11" width="27.63"/>
    <col customWidth="1" min="12" max="12" width="24.88"/>
    <col customWidth="1" min="13" max="13" width="26.13"/>
    <col customWidth="1" min="14" max="14" width="25.25"/>
  </cols>
  <sheetData>
    <row r="1">
      <c r="A1" s="7" t="s">
        <v>157</v>
      </c>
    </row>
    <row r="2">
      <c r="A2" s="77" t="s">
        <v>158</v>
      </c>
      <c r="B2" s="78" t="s">
        <v>159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2"/>
    </row>
    <row r="3">
      <c r="A3" s="80">
        <v>1.0</v>
      </c>
      <c r="B3" s="81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2"/>
    </row>
    <row r="4">
      <c r="A4" s="80">
        <v>2.0</v>
      </c>
      <c r="B4" s="81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2"/>
    </row>
    <row r="5">
      <c r="A5" s="80">
        <v>3.0</v>
      </c>
      <c r="B5" s="81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2"/>
    </row>
    <row r="6">
      <c r="A6" s="80">
        <v>4.0</v>
      </c>
      <c r="B6" s="81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2"/>
    </row>
    <row r="7">
      <c r="A7" s="82" t="s">
        <v>160</v>
      </c>
      <c r="E7" s="83" t="s">
        <v>161</v>
      </c>
    </row>
    <row r="8">
      <c r="A8" s="84" t="s">
        <v>162</v>
      </c>
      <c r="B8" s="77" t="s">
        <v>10</v>
      </c>
      <c r="C8" s="77" t="s">
        <v>171</v>
      </c>
      <c r="D8" s="77" t="s">
        <v>263</v>
      </c>
      <c r="E8" s="77" t="s">
        <v>264</v>
      </c>
      <c r="F8" s="77" t="s">
        <v>186</v>
      </c>
      <c r="G8" s="77" t="s">
        <v>23</v>
      </c>
      <c r="H8" s="77" t="s">
        <v>265</v>
      </c>
      <c r="I8" s="77" t="s">
        <v>201</v>
      </c>
      <c r="J8" s="77" t="s">
        <v>266</v>
      </c>
      <c r="K8" s="77" t="s">
        <v>267</v>
      </c>
      <c r="L8" s="77" t="s">
        <v>220</v>
      </c>
      <c r="M8" s="77" t="s">
        <v>227</v>
      </c>
      <c r="N8" s="77" t="s">
        <v>268</v>
      </c>
    </row>
    <row r="9">
      <c r="A9" s="86" t="s">
        <v>170</v>
      </c>
      <c r="B9" s="87">
        <v>1.0</v>
      </c>
      <c r="C9" s="89">
        <v>1.020498922E9</v>
      </c>
      <c r="D9" s="91" t="s">
        <v>173</v>
      </c>
      <c r="E9" s="91" t="s">
        <v>180</v>
      </c>
      <c r="F9" s="89" t="s">
        <v>187</v>
      </c>
      <c r="G9" s="89" t="s">
        <v>191</v>
      </c>
      <c r="H9" s="89" t="s">
        <v>196</v>
      </c>
      <c r="I9" s="93">
        <v>45717.0</v>
      </c>
      <c r="J9" s="89" t="s">
        <v>204</v>
      </c>
      <c r="K9" s="89" t="s">
        <v>209</v>
      </c>
      <c r="L9" s="89" t="s">
        <v>223</v>
      </c>
      <c r="M9" s="89" t="s">
        <v>269</v>
      </c>
      <c r="N9" s="93">
        <v>45719.0</v>
      </c>
    </row>
    <row r="10">
      <c r="A10" s="86" t="s">
        <v>172</v>
      </c>
      <c r="B10" s="87">
        <f t="shared" ref="B10:B48" si="1">B9+1</f>
        <v>2</v>
      </c>
      <c r="C10" s="89">
        <v>1.020498922E9</v>
      </c>
      <c r="D10" s="91" t="s">
        <v>173</v>
      </c>
      <c r="E10" s="91" t="s">
        <v>180</v>
      </c>
      <c r="F10" s="89" t="s">
        <v>187</v>
      </c>
      <c r="G10" s="89" t="s">
        <v>191</v>
      </c>
      <c r="H10" s="89" t="s">
        <v>196</v>
      </c>
      <c r="I10" s="93">
        <v>45717.0</v>
      </c>
      <c r="J10" s="89" t="s">
        <v>204</v>
      </c>
      <c r="K10" s="89" t="s">
        <v>209</v>
      </c>
      <c r="L10" s="89" t="s">
        <v>223</v>
      </c>
      <c r="M10" s="89" t="s">
        <v>270</v>
      </c>
      <c r="N10" s="93">
        <v>45731.0</v>
      </c>
    </row>
    <row r="11">
      <c r="A11" s="86" t="s">
        <v>178</v>
      </c>
      <c r="B11" s="87">
        <f t="shared" si="1"/>
        <v>3</v>
      </c>
      <c r="C11" s="89">
        <v>1.020498922E9</v>
      </c>
      <c r="D11" s="91" t="s">
        <v>173</v>
      </c>
      <c r="E11" s="91" t="s">
        <v>180</v>
      </c>
      <c r="F11" s="89" t="s">
        <v>187</v>
      </c>
      <c r="G11" s="89" t="s">
        <v>191</v>
      </c>
      <c r="H11" s="89" t="s">
        <v>196</v>
      </c>
      <c r="I11" s="93">
        <v>45717.0</v>
      </c>
      <c r="J11" s="89" t="s">
        <v>215</v>
      </c>
      <c r="K11" s="89" t="s">
        <v>218</v>
      </c>
      <c r="L11" s="89" t="s">
        <v>271</v>
      </c>
      <c r="M11" s="89" t="s">
        <v>269</v>
      </c>
      <c r="N11" s="93">
        <v>45719.0</v>
      </c>
    </row>
    <row r="12">
      <c r="A12" s="86" t="s">
        <v>185</v>
      </c>
      <c r="B12" s="87">
        <f t="shared" si="1"/>
        <v>4</v>
      </c>
      <c r="C12" s="89">
        <v>1.020498922E9</v>
      </c>
      <c r="D12" s="91" t="s">
        <v>173</v>
      </c>
      <c r="E12" s="91" t="s">
        <v>180</v>
      </c>
      <c r="F12" s="89" t="s">
        <v>187</v>
      </c>
      <c r="G12" s="89" t="s">
        <v>191</v>
      </c>
      <c r="H12" s="89" t="s">
        <v>196</v>
      </c>
      <c r="I12" s="93">
        <v>45717.0</v>
      </c>
      <c r="J12" s="89" t="s">
        <v>215</v>
      </c>
      <c r="K12" s="89" t="s">
        <v>218</v>
      </c>
      <c r="L12" s="89" t="s">
        <v>271</v>
      </c>
      <c r="M12" s="89" t="s">
        <v>270</v>
      </c>
      <c r="N12" s="93">
        <v>45731.0</v>
      </c>
    </row>
    <row r="13">
      <c r="A13" s="86" t="s">
        <v>190</v>
      </c>
      <c r="B13" s="87">
        <f t="shared" si="1"/>
        <v>5</v>
      </c>
      <c r="C13" s="89">
        <v>7.1589632E7</v>
      </c>
      <c r="D13" s="89" t="s">
        <v>174</v>
      </c>
      <c r="E13" s="89" t="s">
        <v>181</v>
      </c>
      <c r="F13" s="89" t="s">
        <v>188</v>
      </c>
      <c r="G13" s="89" t="s">
        <v>191</v>
      </c>
      <c r="H13" s="89" t="s">
        <v>197</v>
      </c>
      <c r="I13" s="93">
        <v>45721.0</v>
      </c>
      <c r="J13" s="89" t="s">
        <v>205</v>
      </c>
      <c r="K13" s="89" t="s">
        <v>212</v>
      </c>
      <c r="L13" s="89" t="s">
        <v>222</v>
      </c>
      <c r="M13" s="89" t="s">
        <v>229</v>
      </c>
      <c r="N13" s="93">
        <v>45721.0</v>
      </c>
    </row>
    <row r="14">
      <c r="A14" s="86" t="s">
        <v>194</v>
      </c>
      <c r="B14" s="87">
        <f t="shared" si="1"/>
        <v>6</v>
      </c>
      <c r="C14" s="89">
        <v>3.2854123E7</v>
      </c>
      <c r="D14" s="89" t="s">
        <v>175</v>
      </c>
      <c r="E14" s="89" t="s">
        <v>182</v>
      </c>
      <c r="F14" s="89" t="s">
        <v>187</v>
      </c>
      <c r="G14" s="89" t="s">
        <v>272</v>
      </c>
      <c r="H14" s="89" t="s">
        <v>198</v>
      </c>
      <c r="I14" s="93">
        <v>45724.0</v>
      </c>
      <c r="J14" s="89" t="s">
        <v>42</v>
      </c>
      <c r="K14" s="89" t="s">
        <v>209</v>
      </c>
      <c r="L14" s="89" t="s">
        <v>223</v>
      </c>
      <c r="M14" s="89" t="s">
        <v>273</v>
      </c>
      <c r="N14" s="93">
        <v>45725.0</v>
      </c>
    </row>
    <row r="15">
      <c r="A15" s="86" t="s">
        <v>200</v>
      </c>
      <c r="B15" s="87">
        <f t="shared" si="1"/>
        <v>7</v>
      </c>
      <c r="C15" s="89">
        <v>3.2854123E7</v>
      </c>
      <c r="D15" s="89" t="s">
        <v>175</v>
      </c>
      <c r="E15" s="89" t="s">
        <v>182</v>
      </c>
      <c r="F15" s="89" t="s">
        <v>187</v>
      </c>
      <c r="G15" s="89" t="s">
        <v>272</v>
      </c>
      <c r="H15" s="89" t="s">
        <v>198</v>
      </c>
      <c r="I15" s="93">
        <v>45724.0</v>
      </c>
      <c r="J15" s="89" t="s">
        <v>42</v>
      </c>
      <c r="K15" s="89" t="s">
        <v>209</v>
      </c>
      <c r="L15" s="89" t="s">
        <v>223</v>
      </c>
      <c r="M15" s="89" t="s">
        <v>274</v>
      </c>
      <c r="N15" s="93">
        <v>45727.0</v>
      </c>
    </row>
    <row r="16">
      <c r="A16" s="86" t="s">
        <v>202</v>
      </c>
      <c r="B16" s="87">
        <f t="shared" si="1"/>
        <v>8</v>
      </c>
      <c r="C16" s="89">
        <v>8.0123456E7</v>
      </c>
      <c r="D16" s="89" t="s">
        <v>176</v>
      </c>
      <c r="E16" s="89" t="s">
        <v>183</v>
      </c>
      <c r="F16" s="89" t="s">
        <v>189</v>
      </c>
      <c r="G16" s="89" t="s">
        <v>275</v>
      </c>
      <c r="H16" s="89" t="s">
        <v>199</v>
      </c>
      <c r="I16" s="93">
        <v>45726.0</v>
      </c>
      <c r="J16" s="89" t="s">
        <v>206</v>
      </c>
      <c r="K16" s="89" t="s">
        <v>211</v>
      </c>
      <c r="L16" s="89" t="s">
        <v>224</v>
      </c>
      <c r="M16" s="6"/>
      <c r="N16" s="6"/>
    </row>
    <row r="17">
      <c r="A17" s="86" t="s">
        <v>207</v>
      </c>
      <c r="B17" s="87">
        <f t="shared" si="1"/>
        <v>9</v>
      </c>
      <c r="C17" s="89">
        <v>1.017896541E9</v>
      </c>
      <c r="D17" s="89" t="s">
        <v>177</v>
      </c>
      <c r="E17" s="89" t="s">
        <v>184</v>
      </c>
      <c r="F17" s="89" t="s">
        <v>187</v>
      </c>
      <c r="G17" s="89" t="s">
        <v>191</v>
      </c>
      <c r="H17" s="89" t="s">
        <v>196</v>
      </c>
      <c r="I17" s="93">
        <v>45728.0</v>
      </c>
      <c r="J17" s="89" t="s">
        <v>205</v>
      </c>
      <c r="K17" s="89" t="s">
        <v>212</v>
      </c>
      <c r="L17" s="89" t="s">
        <v>225</v>
      </c>
      <c r="M17" s="89" t="s">
        <v>231</v>
      </c>
      <c r="N17" s="93">
        <v>45729.0</v>
      </c>
    </row>
    <row r="18">
      <c r="A18" s="86" t="s">
        <v>213</v>
      </c>
      <c r="B18" s="87">
        <f t="shared" si="1"/>
        <v>10</v>
      </c>
      <c r="C18" s="88"/>
      <c r="D18" s="6"/>
      <c r="E18" s="91"/>
      <c r="F18" s="89"/>
      <c r="G18" s="89"/>
      <c r="H18" s="89"/>
      <c r="I18" s="89"/>
      <c r="J18" s="6"/>
      <c r="K18" s="6"/>
      <c r="L18" s="6"/>
      <c r="M18" s="6"/>
      <c r="N18" s="6"/>
    </row>
    <row r="19">
      <c r="A19" s="86" t="s">
        <v>216</v>
      </c>
      <c r="B19" s="87">
        <f t="shared" si="1"/>
        <v>11</v>
      </c>
      <c r="C19" s="88"/>
      <c r="D19" s="6"/>
      <c r="E19" s="91"/>
      <c r="F19" s="89"/>
      <c r="G19" s="89"/>
      <c r="H19" s="89"/>
      <c r="I19" s="89"/>
      <c r="J19" s="6"/>
      <c r="K19" s="6"/>
      <c r="L19" s="6"/>
      <c r="M19" s="6"/>
      <c r="N19" s="6"/>
    </row>
    <row r="20">
      <c r="A20" s="86" t="s">
        <v>219</v>
      </c>
      <c r="B20" s="87">
        <f t="shared" si="1"/>
        <v>12</v>
      </c>
      <c r="C20" s="88"/>
      <c r="D20" s="6"/>
      <c r="E20" s="91"/>
      <c r="F20" s="89"/>
      <c r="G20" s="89"/>
      <c r="H20" s="89"/>
      <c r="I20" s="89"/>
      <c r="J20" s="6"/>
      <c r="K20" s="6"/>
      <c r="L20" s="6"/>
      <c r="M20" s="6"/>
      <c r="N20" s="6"/>
    </row>
    <row r="21">
      <c r="A21" s="86" t="s">
        <v>226</v>
      </c>
      <c r="B21" s="87">
        <f t="shared" si="1"/>
        <v>13</v>
      </c>
      <c r="C21" s="88"/>
      <c r="D21" s="6"/>
      <c r="E21" s="94"/>
      <c r="F21" s="89"/>
      <c r="G21" s="89"/>
      <c r="H21" s="89"/>
      <c r="I21" s="89"/>
      <c r="J21" s="6"/>
      <c r="K21" s="6"/>
      <c r="L21" s="6"/>
      <c r="M21" s="6"/>
      <c r="N21" s="6"/>
    </row>
    <row r="22">
      <c r="A22" s="86" t="s">
        <v>232</v>
      </c>
      <c r="B22" s="87">
        <f t="shared" si="1"/>
        <v>14</v>
      </c>
      <c r="C22" s="88"/>
      <c r="D22" s="6"/>
      <c r="E22" s="91"/>
      <c r="F22" s="93"/>
      <c r="G22" s="89"/>
      <c r="H22" s="89"/>
      <c r="I22" s="93"/>
      <c r="J22" s="6"/>
      <c r="K22" s="6"/>
      <c r="L22" s="6"/>
      <c r="M22" s="6"/>
      <c r="N22" s="6"/>
    </row>
    <row r="23">
      <c r="A23" s="86" t="s">
        <v>236</v>
      </c>
      <c r="B23" s="87">
        <f t="shared" si="1"/>
        <v>15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>
      <c r="A24" s="86" t="s">
        <v>237</v>
      </c>
      <c r="B24" s="87">
        <f t="shared" si="1"/>
        <v>16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A25" s="86" t="s">
        <v>238</v>
      </c>
      <c r="B25" s="87">
        <f t="shared" si="1"/>
        <v>17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A26" s="86" t="s">
        <v>239</v>
      </c>
      <c r="B26" s="87">
        <f t="shared" si="1"/>
        <v>18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>
      <c r="A27" s="86" t="s">
        <v>240</v>
      </c>
      <c r="B27" s="87">
        <f t="shared" si="1"/>
        <v>19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A28" s="86" t="s">
        <v>241</v>
      </c>
      <c r="B28" s="87">
        <f t="shared" si="1"/>
        <v>20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>
      <c r="A29" s="86" t="s">
        <v>242</v>
      </c>
      <c r="B29" s="87">
        <f t="shared" si="1"/>
        <v>21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>
      <c r="A30" s="86" t="s">
        <v>243</v>
      </c>
      <c r="B30" s="87">
        <f t="shared" si="1"/>
        <v>22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>
      <c r="A31" s="86" t="s">
        <v>244</v>
      </c>
      <c r="B31" s="87">
        <f t="shared" si="1"/>
        <v>23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>
      <c r="A32" s="86" t="s">
        <v>245</v>
      </c>
      <c r="B32" s="87">
        <f t="shared" si="1"/>
        <v>24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>
      <c r="A33" s="86" t="s">
        <v>246</v>
      </c>
      <c r="B33" s="87">
        <f t="shared" si="1"/>
        <v>25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A34" s="86" t="s">
        <v>247</v>
      </c>
      <c r="B34" s="87">
        <f t="shared" si="1"/>
        <v>26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>
      <c r="A35" s="86" t="s">
        <v>248</v>
      </c>
      <c r="B35" s="87">
        <f t="shared" si="1"/>
        <v>27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>
      <c r="A36" s="86" t="s">
        <v>249</v>
      </c>
      <c r="B36" s="87">
        <f t="shared" si="1"/>
        <v>28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>
      <c r="A37" s="86" t="s">
        <v>250</v>
      </c>
      <c r="B37" s="87">
        <f t="shared" si="1"/>
        <v>29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>
      <c r="A38" s="86" t="s">
        <v>251</v>
      </c>
      <c r="B38" s="87">
        <f t="shared" si="1"/>
        <v>30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>
      <c r="A39" s="86" t="s">
        <v>252</v>
      </c>
      <c r="B39" s="87">
        <f t="shared" si="1"/>
        <v>31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>
      <c r="A40" s="86" t="s">
        <v>253</v>
      </c>
      <c r="B40" s="87">
        <f t="shared" si="1"/>
        <v>32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>
      <c r="A41" s="95" t="s">
        <v>254</v>
      </c>
      <c r="B41" s="87">
        <f t="shared" si="1"/>
        <v>33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>
      <c r="A42" s="95" t="s">
        <v>255</v>
      </c>
      <c r="B42" s="87">
        <f t="shared" si="1"/>
        <v>34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>
      <c r="A43" s="95" t="s">
        <v>256</v>
      </c>
      <c r="B43" s="87">
        <f t="shared" si="1"/>
        <v>35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>
      <c r="A44" s="95" t="s">
        <v>257</v>
      </c>
      <c r="B44" s="87">
        <f t="shared" si="1"/>
        <v>36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>
      <c r="A45" s="95" t="s">
        <v>258</v>
      </c>
      <c r="B45" s="87">
        <f t="shared" si="1"/>
        <v>37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>
      <c r="A46" s="95" t="s">
        <v>259</v>
      </c>
      <c r="B46" s="87">
        <f t="shared" si="1"/>
        <v>38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>
      <c r="A47" s="95" t="s">
        <v>260</v>
      </c>
      <c r="B47" s="87">
        <f t="shared" si="1"/>
        <v>39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>
      <c r="A48" s="95" t="s">
        <v>261</v>
      </c>
      <c r="B48" s="87">
        <f t="shared" si="1"/>
        <v>40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980">
      <c r="F980" s="96" t="s">
        <v>262</v>
      </c>
    </row>
  </sheetData>
  <mergeCells count="8">
    <mergeCell ref="A1:N1"/>
    <mergeCell ref="B2:N2"/>
    <mergeCell ref="B3:N3"/>
    <mergeCell ref="B4:N4"/>
    <mergeCell ref="B5:N5"/>
    <mergeCell ref="B6:N6"/>
    <mergeCell ref="A7:D7"/>
    <mergeCell ref="E7:N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11" max="25" width="31.63"/>
  </cols>
  <sheetData>
    <row r="1">
      <c r="A1" s="7" t="s">
        <v>276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77" t="s">
        <v>158</v>
      </c>
      <c r="B2" s="78" t="s">
        <v>277</v>
      </c>
      <c r="C2" s="79"/>
      <c r="D2" s="79"/>
      <c r="E2" s="79"/>
      <c r="F2" s="79"/>
      <c r="G2" s="79"/>
      <c r="H2" s="79"/>
      <c r="I2" s="79"/>
      <c r="J2" s="79"/>
      <c r="K2" s="2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>
      <c r="A3" s="80">
        <v>1.0</v>
      </c>
      <c r="B3" s="81"/>
      <c r="C3" s="79"/>
      <c r="D3" s="79"/>
      <c r="E3" s="79"/>
      <c r="F3" s="79"/>
      <c r="G3" s="79"/>
      <c r="H3" s="79"/>
      <c r="I3" s="79"/>
      <c r="J3" s="79"/>
      <c r="K3" s="2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>
      <c r="A4" s="80">
        <v>2.0</v>
      </c>
      <c r="B4" s="81"/>
      <c r="C4" s="79"/>
      <c r="D4" s="79"/>
      <c r="E4" s="79"/>
      <c r="F4" s="79"/>
      <c r="G4" s="79"/>
      <c r="H4" s="79"/>
      <c r="I4" s="79"/>
      <c r="J4" s="79"/>
      <c r="K4" s="2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</row>
    <row r="5">
      <c r="A5" s="80">
        <v>3.0</v>
      </c>
      <c r="B5" s="81"/>
      <c r="C5" s="79"/>
      <c r="D5" s="79"/>
      <c r="E5" s="79"/>
      <c r="F5" s="79"/>
      <c r="G5" s="79"/>
      <c r="H5" s="79"/>
      <c r="I5" s="79"/>
      <c r="J5" s="79"/>
      <c r="K5" s="2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</row>
    <row r="6">
      <c r="A6" s="80">
        <v>4.0</v>
      </c>
      <c r="B6" s="81"/>
      <c r="C6" s="79"/>
      <c r="D6" s="79"/>
      <c r="E6" s="79"/>
      <c r="F6" s="79"/>
      <c r="G6" s="79"/>
      <c r="H6" s="79"/>
      <c r="I6" s="79"/>
      <c r="J6" s="79"/>
      <c r="K6" s="2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>
      <c r="A7" s="99" t="s">
        <v>278</v>
      </c>
      <c r="B7" s="79"/>
      <c r="C7" s="79"/>
      <c r="D7" s="79"/>
      <c r="E7" s="79"/>
      <c r="F7" s="79"/>
      <c r="G7" s="79"/>
      <c r="H7" s="79"/>
      <c r="I7" s="79"/>
      <c r="J7" s="79"/>
      <c r="K7" s="2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</row>
    <row r="8" ht="38.25" customHeight="1"/>
    <row r="9" ht="73.5" customHeight="1">
      <c r="A9" s="101">
        <v>1.0</v>
      </c>
      <c r="B9" s="102" t="s">
        <v>279</v>
      </c>
      <c r="C9" s="103" t="s">
        <v>280</v>
      </c>
      <c r="D9" s="79"/>
      <c r="E9" s="79"/>
      <c r="F9" s="2"/>
      <c r="G9" s="102" t="s">
        <v>281</v>
      </c>
      <c r="H9" s="79"/>
      <c r="I9" s="79"/>
      <c r="J9" s="2"/>
      <c r="K9" s="94" t="s">
        <v>282</v>
      </c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</row>
    <row r="10" ht="28.5" customHeight="1">
      <c r="A10" s="105" t="s">
        <v>10</v>
      </c>
      <c r="B10" s="106" t="s">
        <v>283</v>
      </c>
      <c r="C10" s="102" t="s">
        <v>284</v>
      </c>
      <c r="D10" s="79"/>
      <c r="E10" s="79"/>
      <c r="F10" s="2"/>
      <c r="G10" s="102" t="s">
        <v>86</v>
      </c>
      <c r="H10" s="79"/>
      <c r="I10" s="79"/>
      <c r="J10" s="2"/>
      <c r="K10" s="106" t="s">
        <v>285</v>
      </c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</row>
    <row r="11" ht="45.75" customHeight="1">
      <c r="A11" s="108">
        <v>1.0</v>
      </c>
      <c r="B11" s="91" t="s">
        <v>286</v>
      </c>
      <c r="C11" s="109" t="s">
        <v>287</v>
      </c>
      <c r="D11" s="79"/>
      <c r="E11" s="79"/>
      <c r="F11" s="2"/>
      <c r="G11" s="110" t="s">
        <v>288</v>
      </c>
      <c r="H11" s="79"/>
      <c r="I11" s="79"/>
      <c r="J11" s="2"/>
      <c r="K11" s="91" t="s">
        <v>289</v>
      </c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</row>
    <row r="12" ht="33.75" customHeight="1">
      <c r="A12" s="108">
        <v>2.0</v>
      </c>
      <c r="B12" s="91" t="s">
        <v>290</v>
      </c>
      <c r="C12" s="109" t="s">
        <v>291</v>
      </c>
      <c r="D12" s="79"/>
      <c r="E12" s="79"/>
      <c r="F12" s="2"/>
      <c r="G12" s="112"/>
      <c r="H12" s="79"/>
      <c r="I12" s="79"/>
      <c r="J12" s="2"/>
      <c r="K12" s="113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</row>
    <row r="13" ht="26.25" customHeight="1">
      <c r="A13" s="108">
        <v>3.0</v>
      </c>
      <c r="B13" s="91" t="s">
        <v>292</v>
      </c>
      <c r="C13" s="110" t="s">
        <v>293</v>
      </c>
      <c r="D13" s="79"/>
      <c r="E13" s="79"/>
      <c r="F13" s="2"/>
      <c r="G13" s="112"/>
      <c r="H13" s="79"/>
      <c r="I13" s="79"/>
      <c r="J13" s="2"/>
      <c r="K13" s="113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</row>
    <row r="14" ht="36.75" customHeight="1">
      <c r="A14" s="108">
        <v>4.0</v>
      </c>
      <c r="B14" s="91" t="s">
        <v>186</v>
      </c>
      <c r="C14" s="109" t="s">
        <v>294</v>
      </c>
      <c r="D14" s="79"/>
      <c r="E14" s="79"/>
      <c r="F14" s="2"/>
      <c r="G14" s="112"/>
      <c r="H14" s="79"/>
      <c r="I14" s="79"/>
      <c r="J14" s="2"/>
      <c r="K14" s="113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</row>
    <row r="15" ht="26.25" customHeight="1">
      <c r="A15" s="108">
        <v>5.0</v>
      </c>
      <c r="B15" s="91" t="s">
        <v>23</v>
      </c>
      <c r="C15" s="110" t="s">
        <v>295</v>
      </c>
      <c r="D15" s="79"/>
      <c r="E15" s="79"/>
      <c r="F15" s="2"/>
      <c r="G15" s="112"/>
      <c r="H15" s="79"/>
      <c r="I15" s="79"/>
      <c r="J15" s="2"/>
      <c r="K15" s="113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</row>
    <row r="16" ht="26.25" customHeight="1">
      <c r="A16" s="108">
        <v>6.0</v>
      </c>
      <c r="B16" s="91" t="s">
        <v>296</v>
      </c>
      <c r="C16" s="110" t="s">
        <v>297</v>
      </c>
      <c r="D16" s="79"/>
      <c r="E16" s="79"/>
      <c r="F16" s="2"/>
      <c r="G16" s="112"/>
      <c r="H16" s="79"/>
      <c r="I16" s="79"/>
      <c r="J16" s="2"/>
      <c r="K16" s="113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</row>
    <row r="17" ht="26.25" customHeight="1">
      <c r="A17" s="108" t="s">
        <v>298</v>
      </c>
      <c r="B17" s="91" t="s">
        <v>299</v>
      </c>
      <c r="C17" s="110" t="s">
        <v>300</v>
      </c>
      <c r="D17" s="79"/>
      <c r="E17" s="79"/>
      <c r="F17" s="2"/>
      <c r="G17" s="112"/>
      <c r="H17" s="79"/>
      <c r="I17" s="79"/>
      <c r="J17" s="2"/>
      <c r="K17" s="113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</row>
    <row r="18" ht="40.5" customHeight="1"/>
    <row r="19" ht="49.5" customHeight="1">
      <c r="A19" s="101">
        <v>2.0</v>
      </c>
      <c r="B19" s="102" t="s">
        <v>279</v>
      </c>
      <c r="C19" s="103" t="s">
        <v>301</v>
      </c>
      <c r="D19" s="79"/>
      <c r="E19" s="79"/>
      <c r="F19" s="2"/>
      <c r="G19" s="102" t="s">
        <v>281</v>
      </c>
      <c r="H19" s="79"/>
      <c r="I19" s="79"/>
      <c r="J19" s="2"/>
      <c r="K19" s="94" t="s">
        <v>302</v>
      </c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</row>
    <row r="20" ht="28.5" customHeight="1">
      <c r="A20" s="105" t="s">
        <v>10</v>
      </c>
      <c r="B20" s="106" t="s">
        <v>283</v>
      </c>
      <c r="C20" s="102" t="s">
        <v>284</v>
      </c>
      <c r="D20" s="79"/>
      <c r="E20" s="79"/>
      <c r="F20" s="2"/>
      <c r="G20" s="102" t="s">
        <v>86</v>
      </c>
      <c r="H20" s="79"/>
      <c r="I20" s="79"/>
      <c r="J20" s="2"/>
      <c r="K20" s="106" t="s">
        <v>285</v>
      </c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</row>
    <row r="21" ht="26.25" customHeight="1">
      <c r="A21" s="108">
        <v>1.0</v>
      </c>
      <c r="B21" s="91" t="s">
        <v>303</v>
      </c>
      <c r="C21" s="110" t="s">
        <v>304</v>
      </c>
      <c r="D21" s="79"/>
      <c r="E21" s="79"/>
      <c r="F21" s="2"/>
      <c r="G21" s="110" t="s">
        <v>305</v>
      </c>
      <c r="H21" s="79"/>
      <c r="I21" s="79"/>
      <c r="J21" s="2"/>
      <c r="K21" s="91" t="s">
        <v>289</v>
      </c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</row>
    <row r="22" ht="26.25" customHeight="1">
      <c r="A22" s="108">
        <v>2.0</v>
      </c>
      <c r="B22" s="91" t="s">
        <v>306</v>
      </c>
      <c r="C22" s="110" t="s">
        <v>307</v>
      </c>
      <c r="D22" s="79"/>
      <c r="E22" s="79"/>
      <c r="F22" s="2"/>
      <c r="G22" s="112"/>
      <c r="H22" s="79"/>
      <c r="I22" s="79"/>
      <c r="J22" s="2"/>
      <c r="K22" s="9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</row>
    <row r="23" ht="26.25" customHeight="1">
      <c r="A23" s="108">
        <v>3.0</v>
      </c>
      <c r="B23" s="113"/>
      <c r="C23" s="112"/>
      <c r="D23" s="79"/>
      <c r="E23" s="79"/>
      <c r="F23" s="2"/>
      <c r="G23" s="112"/>
      <c r="H23" s="79"/>
      <c r="I23" s="79"/>
      <c r="J23" s="2"/>
      <c r="K23" s="9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</row>
    <row r="24" ht="26.25" customHeight="1">
      <c r="A24" s="108">
        <v>4.0</v>
      </c>
      <c r="B24" s="113"/>
      <c r="C24" s="112"/>
      <c r="D24" s="79"/>
      <c r="E24" s="79"/>
      <c r="F24" s="2"/>
      <c r="G24" s="112"/>
      <c r="H24" s="79"/>
      <c r="I24" s="79"/>
      <c r="J24" s="2"/>
      <c r="K24" s="113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</row>
    <row r="25" ht="26.25" customHeight="1">
      <c r="A25" s="108">
        <v>5.0</v>
      </c>
      <c r="B25" s="113"/>
      <c r="C25" s="112"/>
      <c r="D25" s="79"/>
      <c r="E25" s="79"/>
      <c r="F25" s="2"/>
      <c r="G25" s="112"/>
      <c r="H25" s="79"/>
      <c r="I25" s="79"/>
      <c r="J25" s="2"/>
      <c r="K25" s="113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</row>
    <row r="26" ht="26.25" customHeight="1">
      <c r="A26" s="108">
        <v>6.0</v>
      </c>
      <c r="B26" s="113"/>
      <c r="C26" s="112"/>
      <c r="D26" s="79"/>
      <c r="E26" s="79"/>
      <c r="F26" s="2"/>
      <c r="G26" s="112"/>
      <c r="H26" s="79"/>
      <c r="I26" s="79"/>
      <c r="J26" s="2"/>
      <c r="K26" s="113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</row>
    <row r="27" ht="26.25" customHeight="1">
      <c r="A27" s="108" t="s">
        <v>298</v>
      </c>
      <c r="B27" s="113"/>
      <c r="C27" s="112"/>
      <c r="D27" s="79"/>
      <c r="E27" s="79"/>
      <c r="F27" s="2"/>
      <c r="G27" s="112"/>
      <c r="H27" s="79"/>
      <c r="I27" s="79"/>
      <c r="J27" s="2"/>
      <c r="K27" s="113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</row>
    <row r="31">
      <c r="A31" s="101">
        <v>3.0</v>
      </c>
      <c r="B31" s="102" t="s">
        <v>279</v>
      </c>
      <c r="C31" s="103" t="s">
        <v>308</v>
      </c>
      <c r="D31" s="79"/>
      <c r="E31" s="79"/>
      <c r="F31" s="2"/>
      <c r="G31" s="102" t="s">
        <v>281</v>
      </c>
      <c r="H31" s="79"/>
      <c r="I31" s="79"/>
      <c r="J31" s="2"/>
      <c r="K31" s="94" t="s">
        <v>309</v>
      </c>
      <c r="L31" s="104"/>
    </row>
    <row r="32">
      <c r="A32" s="105" t="s">
        <v>10</v>
      </c>
      <c r="B32" s="106" t="s">
        <v>283</v>
      </c>
      <c r="C32" s="102" t="s">
        <v>284</v>
      </c>
      <c r="D32" s="79"/>
      <c r="E32" s="79"/>
      <c r="F32" s="2"/>
      <c r="G32" s="102" t="s">
        <v>86</v>
      </c>
      <c r="H32" s="79"/>
      <c r="I32" s="79"/>
      <c r="J32" s="2"/>
      <c r="K32" s="106" t="s">
        <v>285</v>
      </c>
      <c r="L32" s="107"/>
    </row>
    <row r="33">
      <c r="A33" s="108">
        <v>1.0</v>
      </c>
      <c r="B33" s="91" t="s">
        <v>310</v>
      </c>
      <c r="C33" s="109" t="s">
        <v>311</v>
      </c>
      <c r="D33" s="79"/>
      <c r="E33" s="79"/>
      <c r="F33" s="2"/>
      <c r="G33" s="110" t="s">
        <v>312</v>
      </c>
      <c r="H33" s="79"/>
      <c r="I33" s="79"/>
      <c r="J33" s="2"/>
      <c r="K33" s="91" t="s">
        <v>289</v>
      </c>
      <c r="L33" s="111"/>
    </row>
    <row r="34">
      <c r="A34" s="108">
        <v>2.0</v>
      </c>
      <c r="B34" s="91" t="s">
        <v>313</v>
      </c>
      <c r="C34" s="109" t="s">
        <v>314</v>
      </c>
      <c r="D34" s="79"/>
      <c r="E34" s="79"/>
      <c r="F34" s="2"/>
      <c r="G34" s="109" t="s">
        <v>315</v>
      </c>
      <c r="H34" s="79"/>
      <c r="I34" s="79"/>
      <c r="J34" s="2"/>
      <c r="K34" s="91" t="s">
        <v>316</v>
      </c>
      <c r="L34" s="111"/>
    </row>
    <row r="35">
      <c r="A35" s="108">
        <v>3.0</v>
      </c>
      <c r="B35" s="91" t="s">
        <v>317</v>
      </c>
      <c r="C35" s="109" t="s">
        <v>318</v>
      </c>
      <c r="D35" s="79"/>
      <c r="E35" s="79"/>
      <c r="F35" s="2"/>
      <c r="G35" s="109" t="s">
        <v>319</v>
      </c>
      <c r="H35" s="79"/>
      <c r="I35" s="79"/>
      <c r="J35" s="2"/>
      <c r="K35" s="91" t="s">
        <v>316</v>
      </c>
      <c r="L35" s="111"/>
    </row>
    <row r="36">
      <c r="A36" s="108">
        <v>4.0</v>
      </c>
      <c r="B36" s="91" t="s">
        <v>220</v>
      </c>
      <c r="C36" s="109" t="s">
        <v>320</v>
      </c>
      <c r="D36" s="79"/>
      <c r="E36" s="79"/>
      <c r="F36" s="2"/>
      <c r="G36" s="112"/>
      <c r="H36" s="79"/>
      <c r="I36" s="79"/>
      <c r="J36" s="2"/>
      <c r="K36" s="113"/>
      <c r="L36" s="111"/>
    </row>
    <row r="37">
      <c r="A37" s="108">
        <v>5.0</v>
      </c>
      <c r="B37" s="91" t="s">
        <v>321</v>
      </c>
      <c r="C37" s="109" t="s">
        <v>322</v>
      </c>
      <c r="D37" s="79"/>
      <c r="E37" s="79"/>
      <c r="F37" s="2"/>
      <c r="G37" s="112"/>
      <c r="H37" s="79"/>
      <c r="I37" s="79"/>
      <c r="J37" s="2"/>
      <c r="K37" s="113"/>
      <c r="L37" s="111"/>
    </row>
    <row r="38">
      <c r="A38" s="108">
        <v>6.0</v>
      </c>
      <c r="B38" s="91" t="s">
        <v>323</v>
      </c>
      <c r="C38" s="109" t="s">
        <v>324</v>
      </c>
      <c r="D38" s="79"/>
      <c r="E38" s="79"/>
      <c r="F38" s="2"/>
      <c r="G38" s="112"/>
      <c r="H38" s="79"/>
      <c r="I38" s="79"/>
      <c r="J38" s="2"/>
      <c r="K38" s="113"/>
      <c r="L38" s="111"/>
    </row>
    <row r="39">
      <c r="A39" s="108" t="s">
        <v>298</v>
      </c>
      <c r="B39" s="113"/>
      <c r="C39" s="112"/>
      <c r="D39" s="79"/>
      <c r="E39" s="79"/>
      <c r="F39" s="2"/>
      <c r="G39" s="112"/>
      <c r="H39" s="79"/>
      <c r="I39" s="79"/>
      <c r="J39" s="2"/>
      <c r="K39" s="113"/>
      <c r="L39" s="111"/>
    </row>
    <row r="40">
      <c r="C40" s="98"/>
      <c r="D40" s="98"/>
      <c r="E40" s="98"/>
      <c r="F40" s="98"/>
      <c r="G40" s="98"/>
      <c r="H40" s="98"/>
      <c r="I40" s="98"/>
      <c r="J40" s="98"/>
    </row>
    <row r="43">
      <c r="A43" s="101">
        <v>2.0</v>
      </c>
      <c r="B43" s="102" t="s">
        <v>279</v>
      </c>
      <c r="C43" s="114"/>
      <c r="D43" s="79"/>
      <c r="E43" s="79"/>
      <c r="F43" s="2"/>
      <c r="G43" s="102" t="s">
        <v>281</v>
      </c>
      <c r="H43" s="79"/>
      <c r="I43" s="79"/>
      <c r="J43" s="2"/>
      <c r="K43" s="115"/>
      <c r="L43" s="104"/>
    </row>
    <row r="44">
      <c r="A44" s="105" t="s">
        <v>10</v>
      </c>
      <c r="B44" s="106" t="s">
        <v>283</v>
      </c>
      <c r="C44" s="102" t="s">
        <v>284</v>
      </c>
      <c r="D44" s="79"/>
      <c r="E44" s="79"/>
      <c r="F44" s="2"/>
      <c r="G44" s="102" t="s">
        <v>86</v>
      </c>
      <c r="H44" s="79"/>
      <c r="I44" s="79"/>
      <c r="J44" s="2"/>
      <c r="K44" s="106" t="s">
        <v>285</v>
      </c>
      <c r="L44" s="107"/>
    </row>
    <row r="45">
      <c r="A45" s="108">
        <v>1.0</v>
      </c>
      <c r="B45" s="113"/>
      <c r="C45" s="112"/>
      <c r="D45" s="79"/>
      <c r="E45" s="79"/>
      <c r="F45" s="2"/>
      <c r="G45" s="112"/>
      <c r="H45" s="79"/>
      <c r="I45" s="79"/>
      <c r="J45" s="2"/>
      <c r="K45" s="113"/>
      <c r="L45" s="111"/>
    </row>
    <row r="46">
      <c r="A46" s="108">
        <v>2.0</v>
      </c>
      <c r="B46" s="113"/>
      <c r="C46" s="112"/>
      <c r="D46" s="79"/>
      <c r="E46" s="79"/>
      <c r="F46" s="2"/>
      <c r="G46" s="112"/>
      <c r="H46" s="79"/>
      <c r="I46" s="79"/>
      <c r="J46" s="2"/>
      <c r="K46" s="113"/>
      <c r="L46" s="111"/>
    </row>
    <row r="47">
      <c r="A47" s="108">
        <v>3.0</v>
      </c>
      <c r="B47" s="113"/>
      <c r="C47" s="112"/>
      <c r="D47" s="79"/>
      <c r="E47" s="79"/>
      <c r="F47" s="2"/>
      <c r="G47" s="112"/>
      <c r="H47" s="79"/>
      <c r="I47" s="79"/>
      <c r="J47" s="2"/>
      <c r="K47" s="113"/>
      <c r="L47" s="111"/>
    </row>
    <row r="48">
      <c r="A48" s="108">
        <v>4.0</v>
      </c>
      <c r="B48" s="113"/>
      <c r="C48" s="112"/>
      <c r="D48" s="79"/>
      <c r="E48" s="79"/>
      <c r="F48" s="2"/>
      <c r="G48" s="112"/>
      <c r="H48" s="79"/>
      <c r="I48" s="79"/>
      <c r="J48" s="2"/>
      <c r="K48" s="113"/>
      <c r="L48" s="111"/>
    </row>
    <row r="49">
      <c r="A49" s="108">
        <v>5.0</v>
      </c>
      <c r="B49" s="113"/>
      <c r="C49" s="112"/>
      <c r="D49" s="79"/>
      <c r="E49" s="79"/>
      <c r="F49" s="2"/>
      <c r="G49" s="112"/>
      <c r="H49" s="79"/>
      <c r="I49" s="79"/>
      <c r="J49" s="2"/>
      <c r="K49" s="113"/>
      <c r="L49" s="111"/>
    </row>
    <row r="50">
      <c r="A50" s="116"/>
      <c r="B50" s="113"/>
      <c r="C50" s="112"/>
      <c r="D50" s="79"/>
      <c r="E50" s="79"/>
      <c r="F50" s="2"/>
      <c r="G50" s="112"/>
      <c r="H50" s="79"/>
      <c r="I50" s="79"/>
      <c r="J50" s="2"/>
      <c r="K50" s="113"/>
      <c r="L50" s="111"/>
    </row>
    <row r="51">
      <c r="A51" s="108" t="s">
        <v>298</v>
      </c>
      <c r="B51" s="113"/>
      <c r="C51" s="112"/>
      <c r="D51" s="79"/>
      <c r="E51" s="79"/>
      <c r="F51" s="2"/>
      <c r="G51" s="112"/>
      <c r="H51" s="79"/>
      <c r="I51" s="79"/>
      <c r="J51" s="2"/>
      <c r="K51" s="113"/>
      <c r="L51" s="111"/>
    </row>
  </sheetData>
  <mergeCells count="79">
    <mergeCell ref="C27:F27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G38:J38"/>
    <mergeCell ref="G39:J39"/>
    <mergeCell ref="G43:J43"/>
    <mergeCell ref="G44:J44"/>
    <mergeCell ref="G45:J45"/>
    <mergeCell ref="G46:J46"/>
    <mergeCell ref="G47:J47"/>
    <mergeCell ref="G48:J48"/>
    <mergeCell ref="G49:J49"/>
    <mergeCell ref="G50:J50"/>
    <mergeCell ref="G51:J51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27:J27"/>
    <mergeCell ref="G31:J31"/>
    <mergeCell ref="G32:J32"/>
    <mergeCell ref="G33:J33"/>
    <mergeCell ref="G34:J34"/>
    <mergeCell ref="G35:J35"/>
    <mergeCell ref="G36:J36"/>
    <mergeCell ref="G37:J3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11" max="25" width="31.63"/>
  </cols>
  <sheetData>
    <row r="1">
      <c r="A1" s="7" t="s">
        <v>325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77" t="s">
        <v>158</v>
      </c>
      <c r="B2" s="78" t="s">
        <v>326</v>
      </c>
      <c r="C2" s="79"/>
      <c r="D2" s="79"/>
      <c r="E2" s="79"/>
      <c r="F2" s="79"/>
      <c r="G2" s="79"/>
      <c r="H2" s="79"/>
      <c r="I2" s="79"/>
      <c r="J2" s="79"/>
      <c r="K2" s="2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</row>
    <row r="3">
      <c r="A3" s="80">
        <v>1.0</v>
      </c>
      <c r="B3" s="81"/>
      <c r="C3" s="79"/>
      <c r="D3" s="79"/>
      <c r="E3" s="79"/>
      <c r="F3" s="79"/>
      <c r="G3" s="79"/>
      <c r="H3" s="79"/>
      <c r="I3" s="79"/>
      <c r="J3" s="79"/>
      <c r="K3" s="2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>
      <c r="A4" s="80">
        <v>2.0</v>
      </c>
      <c r="B4" s="81"/>
      <c r="C4" s="79"/>
      <c r="D4" s="79"/>
      <c r="E4" s="79"/>
      <c r="F4" s="79"/>
      <c r="G4" s="79"/>
      <c r="H4" s="79"/>
      <c r="I4" s="79"/>
      <c r="J4" s="79"/>
      <c r="K4" s="2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</row>
    <row r="5">
      <c r="A5" s="80">
        <v>3.0</v>
      </c>
      <c r="B5" s="81"/>
      <c r="C5" s="79"/>
      <c r="D5" s="79"/>
      <c r="E5" s="79"/>
      <c r="F5" s="79"/>
      <c r="G5" s="79"/>
      <c r="H5" s="79"/>
      <c r="I5" s="79"/>
      <c r="J5" s="79"/>
      <c r="K5" s="2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</row>
    <row r="6">
      <c r="A6" s="80">
        <v>4.0</v>
      </c>
      <c r="B6" s="81"/>
      <c r="C6" s="79"/>
      <c r="D6" s="79"/>
      <c r="E6" s="79"/>
      <c r="F6" s="79"/>
      <c r="G6" s="79"/>
      <c r="H6" s="79"/>
      <c r="I6" s="79"/>
      <c r="J6" s="79"/>
      <c r="K6" s="2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</row>
    <row r="7">
      <c r="A7" s="99" t="s">
        <v>278</v>
      </c>
      <c r="B7" s="79"/>
      <c r="C7" s="79"/>
      <c r="D7" s="79"/>
      <c r="E7" s="79"/>
      <c r="F7" s="79"/>
      <c r="G7" s="79"/>
      <c r="H7" s="79"/>
      <c r="I7" s="79"/>
      <c r="J7" s="79"/>
      <c r="K7" s="2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</row>
    <row r="8" ht="38.25" customHeight="1"/>
    <row r="9" ht="77.25" customHeight="1">
      <c r="A9" s="101">
        <v>1.0</v>
      </c>
      <c r="B9" s="102" t="s">
        <v>279</v>
      </c>
      <c r="C9" s="110" t="s">
        <v>327</v>
      </c>
      <c r="D9" s="79"/>
      <c r="E9" s="79"/>
      <c r="F9" s="2"/>
      <c r="G9" s="102" t="s">
        <v>281</v>
      </c>
      <c r="H9" s="79"/>
      <c r="I9" s="79"/>
      <c r="J9" s="2"/>
      <c r="K9" s="94" t="s">
        <v>328</v>
      </c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</row>
    <row r="10" ht="28.5" customHeight="1">
      <c r="A10" s="105" t="s">
        <v>10</v>
      </c>
      <c r="B10" s="106" t="s">
        <v>283</v>
      </c>
      <c r="C10" s="102" t="s">
        <v>284</v>
      </c>
      <c r="D10" s="79"/>
      <c r="E10" s="79"/>
      <c r="F10" s="2"/>
      <c r="G10" s="102" t="s">
        <v>86</v>
      </c>
      <c r="H10" s="79"/>
      <c r="I10" s="79"/>
      <c r="J10" s="2"/>
      <c r="K10" s="106" t="s">
        <v>285</v>
      </c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</row>
    <row r="11" ht="44.25" customHeight="1">
      <c r="A11" s="108">
        <v>1.0</v>
      </c>
      <c r="B11" s="91" t="s">
        <v>329</v>
      </c>
      <c r="C11" s="110" t="s">
        <v>330</v>
      </c>
      <c r="D11" s="79"/>
      <c r="E11" s="79"/>
      <c r="F11" s="2"/>
      <c r="G11" s="109" t="s">
        <v>331</v>
      </c>
      <c r="H11" s="79"/>
      <c r="I11" s="79"/>
      <c r="J11" s="2"/>
      <c r="K11" s="91" t="s">
        <v>289</v>
      </c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</row>
    <row r="12" ht="26.25" customHeight="1">
      <c r="A12" s="108">
        <v>2.0</v>
      </c>
      <c r="B12" s="91" t="s">
        <v>332</v>
      </c>
      <c r="C12" s="110" t="s">
        <v>333</v>
      </c>
      <c r="D12" s="79"/>
      <c r="E12" s="79"/>
      <c r="F12" s="2"/>
      <c r="G12" s="112"/>
      <c r="H12" s="79"/>
      <c r="I12" s="79"/>
      <c r="J12" s="2"/>
      <c r="K12" s="113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</row>
    <row r="13" ht="40.5" customHeight="1">
      <c r="A13" s="108">
        <v>3.0</v>
      </c>
      <c r="B13" s="91" t="s">
        <v>296</v>
      </c>
      <c r="C13" s="109" t="s">
        <v>334</v>
      </c>
      <c r="D13" s="79"/>
      <c r="E13" s="79"/>
      <c r="F13" s="2"/>
      <c r="G13" s="112"/>
      <c r="H13" s="79"/>
      <c r="I13" s="79"/>
      <c r="J13" s="2"/>
      <c r="K13" s="113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</row>
    <row r="14" ht="26.25" customHeight="1">
      <c r="A14" s="108">
        <v>4.0</v>
      </c>
      <c r="B14" s="113"/>
      <c r="C14" s="112"/>
      <c r="D14" s="79"/>
      <c r="E14" s="79"/>
      <c r="F14" s="2"/>
      <c r="G14" s="112"/>
      <c r="H14" s="79"/>
      <c r="I14" s="79"/>
      <c r="J14" s="2"/>
      <c r="K14" s="113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</row>
    <row r="15" ht="26.25" customHeight="1">
      <c r="A15" s="108">
        <v>5.0</v>
      </c>
      <c r="B15" s="113"/>
      <c r="C15" s="112"/>
      <c r="D15" s="79"/>
      <c r="E15" s="79"/>
      <c r="F15" s="2"/>
      <c r="G15" s="112"/>
      <c r="H15" s="79"/>
      <c r="I15" s="79"/>
      <c r="J15" s="2"/>
      <c r="K15" s="113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</row>
    <row r="16" ht="26.25" customHeight="1">
      <c r="A16" s="108">
        <v>6.0</v>
      </c>
      <c r="B16" s="113"/>
      <c r="C16" s="112"/>
      <c r="D16" s="79"/>
      <c r="E16" s="79"/>
      <c r="F16" s="2"/>
      <c r="G16" s="112"/>
      <c r="H16" s="79"/>
      <c r="I16" s="79"/>
      <c r="J16" s="2"/>
      <c r="K16" s="113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</row>
    <row r="17" ht="26.25" customHeight="1">
      <c r="A17" s="108" t="s">
        <v>298</v>
      </c>
      <c r="B17" s="113"/>
      <c r="C17" s="112"/>
      <c r="D17" s="79"/>
      <c r="E17" s="79"/>
      <c r="F17" s="2"/>
      <c r="G17" s="112"/>
      <c r="H17" s="79"/>
      <c r="I17" s="79"/>
      <c r="J17" s="2"/>
      <c r="K17" s="113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</row>
    <row r="18" ht="40.5" customHeight="1"/>
    <row r="19" ht="56.25" customHeight="1">
      <c r="A19" s="101">
        <v>2.0</v>
      </c>
      <c r="B19" s="102" t="s">
        <v>279</v>
      </c>
      <c r="C19" s="109" t="s">
        <v>280</v>
      </c>
      <c r="D19" s="79"/>
      <c r="E19" s="79"/>
      <c r="F19" s="2"/>
      <c r="G19" s="102" t="s">
        <v>281</v>
      </c>
      <c r="H19" s="79"/>
      <c r="I19" s="79"/>
      <c r="J19" s="2"/>
      <c r="K19" s="94" t="s">
        <v>335</v>
      </c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</row>
    <row r="20" ht="28.5" customHeight="1">
      <c r="A20" s="105" t="s">
        <v>10</v>
      </c>
      <c r="B20" s="106" t="s">
        <v>283</v>
      </c>
      <c r="C20" s="102" t="s">
        <v>284</v>
      </c>
      <c r="D20" s="79"/>
      <c r="E20" s="79"/>
      <c r="F20" s="2"/>
      <c r="G20" s="102" t="s">
        <v>86</v>
      </c>
      <c r="H20" s="79"/>
      <c r="I20" s="79"/>
      <c r="J20" s="2"/>
      <c r="K20" s="106" t="s">
        <v>285</v>
      </c>
      <c r="L20" s="107"/>
      <c r="M20" s="107"/>
      <c r="N20" s="107"/>
      <c r="O20" s="107"/>
      <c r="P20" s="107"/>
      <c r="Q20" s="107"/>
      <c r="R20" s="107"/>
      <c r="S20" s="107"/>
      <c r="T20" s="107"/>
      <c r="U20" s="107"/>
      <c r="V20" s="107"/>
      <c r="W20" s="107"/>
      <c r="X20" s="107"/>
      <c r="Y20" s="107"/>
    </row>
    <row r="21" ht="38.25" customHeight="1">
      <c r="A21" s="108">
        <v>1.0</v>
      </c>
      <c r="B21" s="94" t="s">
        <v>286</v>
      </c>
      <c r="C21" s="109" t="s">
        <v>287</v>
      </c>
      <c r="D21" s="79"/>
      <c r="E21" s="79"/>
      <c r="F21" s="2"/>
      <c r="G21" s="109" t="s">
        <v>336</v>
      </c>
      <c r="H21" s="79"/>
      <c r="I21" s="79"/>
      <c r="J21" s="2"/>
      <c r="K21" s="94" t="s">
        <v>289</v>
      </c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</row>
    <row r="22" ht="26.25" customHeight="1">
      <c r="A22" s="108">
        <v>2.0</v>
      </c>
      <c r="B22" s="94" t="s">
        <v>290</v>
      </c>
      <c r="C22" s="109" t="s">
        <v>291</v>
      </c>
      <c r="D22" s="79"/>
      <c r="E22" s="79"/>
      <c r="F22" s="2"/>
      <c r="G22" s="112"/>
      <c r="H22" s="79"/>
      <c r="I22" s="79"/>
      <c r="J22" s="2"/>
      <c r="K22" s="113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</row>
    <row r="23" ht="26.25" customHeight="1">
      <c r="A23" s="108">
        <v>3.0</v>
      </c>
      <c r="B23" s="94" t="s">
        <v>292</v>
      </c>
      <c r="C23" s="109" t="s">
        <v>293</v>
      </c>
      <c r="D23" s="79"/>
      <c r="E23" s="79"/>
      <c r="F23" s="2"/>
      <c r="G23" s="112"/>
      <c r="H23" s="79"/>
      <c r="I23" s="79"/>
      <c r="J23" s="2"/>
      <c r="K23" s="113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</row>
    <row r="24" ht="26.25" customHeight="1">
      <c r="A24" s="108">
        <v>4.0</v>
      </c>
      <c r="B24" s="94" t="s">
        <v>186</v>
      </c>
      <c r="C24" s="109" t="s">
        <v>294</v>
      </c>
      <c r="D24" s="79"/>
      <c r="E24" s="79"/>
      <c r="F24" s="2"/>
      <c r="G24" s="112"/>
      <c r="H24" s="79"/>
      <c r="I24" s="79"/>
      <c r="J24" s="2"/>
      <c r="K24" s="113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</row>
    <row r="25" ht="26.25" customHeight="1">
      <c r="A25" s="108">
        <v>5.0</v>
      </c>
      <c r="B25" s="94" t="s">
        <v>299</v>
      </c>
      <c r="C25" s="109" t="s">
        <v>300</v>
      </c>
      <c r="D25" s="79"/>
      <c r="E25" s="79"/>
      <c r="F25" s="2"/>
      <c r="G25" s="112"/>
      <c r="H25" s="79"/>
      <c r="I25" s="79"/>
      <c r="J25" s="2"/>
      <c r="K25" s="113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</row>
    <row r="26" ht="46.5" customHeight="1">
      <c r="A26" s="108">
        <v>6.0</v>
      </c>
      <c r="B26" s="94" t="s">
        <v>329</v>
      </c>
      <c r="C26" s="109" t="s">
        <v>337</v>
      </c>
      <c r="D26" s="79"/>
      <c r="E26" s="79"/>
      <c r="F26" s="2"/>
      <c r="G26" s="109" t="s">
        <v>338</v>
      </c>
      <c r="H26" s="79"/>
      <c r="I26" s="79"/>
      <c r="J26" s="2"/>
      <c r="K26" s="94" t="s">
        <v>316</v>
      </c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</row>
    <row r="27">
      <c r="A27" s="98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</row>
    <row r="28">
      <c r="A28" s="98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</row>
    <row r="29" ht="40.5" customHeight="1"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</row>
    <row r="30">
      <c r="A30" s="101">
        <v>2.0</v>
      </c>
      <c r="B30" s="102" t="s">
        <v>279</v>
      </c>
      <c r="C30" s="109" t="s">
        <v>301</v>
      </c>
      <c r="D30" s="79"/>
      <c r="E30" s="79"/>
      <c r="F30" s="2"/>
      <c r="G30" s="102" t="s">
        <v>281</v>
      </c>
      <c r="H30" s="79"/>
      <c r="I30" s="79"/>
      <c r="J30" s="2"/>
      <c r="K30" s="94" t="s">
        <v>339</v>
      </c>
      <c r="L30" s="104"/>
    </row>
    <row r="31">
      <c r="A31" s="105" t="s">
        <v>10</v>
      </c>
      <c r="B31" s="106" t="s">
        <v>283</v>
      </c>
      <c r="C31" s="102" t="s">
        <v>284</v>
      </c>
      <c r="D31" s="79"/>
      <c r="E31" s="79"/>
      <c r="F31" s="2"/>
      <c r="G31" s="102" t="s">
        <v>86</v>
      </c>
      <c r="H31" s="79"/>
      <c r="I31" s="79"/>
      <c r="J31" s="2"/>
      <c r="K31" s="106" t="s">
        <v>285</v>
      </c>
      <c r="L31" s="107"/>
    </row>
    <row r="32">
      <c r="A32" s="108">
        <v>1.0</v>
      </c>
      <c r="B32" s="94" t="s">
        <v>303</v>
      </c>
      <c r="C32" s="109" t="s">
        <v>304</v>
      </c>
      <c r="D32" s="79"/>
      <c r="E32" s="79"/>
      <c r="F32" s="2"/>
      <c r="G32" s="109" t="s">
        <v>305</v>
      </c>
      <c r="H32" s="79"/>
      <c r="I32" s="79"/>
      <c r="J32" s="2"/>
      <c r="K32" s="94" t="s">
        <v>289</v>
      </c>
      <c r="L32" s="111"/>
    </row>
    <row r="33">
      <c r="A33" s="108">
        <v>2.0</v>
      </c>
      <c r="B33" s="94" t="s">
        <v>340</v>
      </c>
      <c r="C33" s="109" t="s">
        <v>307</v>
      </c>
      <c r="D33" s="79"/>
      <c r="E33" s="79"/>
      <c r="F33" s="2"/>
      <c r="G33" s="112"/>
      <c r="H33" s="79"/>
      <c r="I33" s="79"/>
      <c r="J33" s="2"/>
      <c r="K33" s="113"/>
      <c r="L33" s="111"/>
    </row>
    <row r="34">
      <c r="A34" s="108">
        <v>3.0</v>
      </c>
      <c r="B34" s="94"/>
      <c r="C34" s="112"/>
      <c r="D34" s="79"/>
      <c r="E34" s="79"/>
      <c r="F34" s="2"/>
      <c r="G34" s="112"/>
      <c r="H34" s="79"/>
      <c r="I34" s="79"/>
      <c r="J34" s="2"/>
      <c r="K34" s="113"/>
      <c r="L34" s="111"/>
    </row>
    <row r="35">
      <c r="A35" s="108">
        <v>4.0</v>
      </c>
      <c r="B35" s="113"/>
      <c r="C35" s="112"/>
      <c r="D35" s="79"/>
      <c r="E35" s="79"/>
      <c r="F35" s="2"/>
      <c r="G35" s="112"/>
      <c r="H35" s="79"/>
      <c r="I35" s="79"/>
      <c r="J35" s="2"/>
      <c r="K35" s="113"/>
      <c r="L35" s="111"/>
    </row>
    <row r="36">
      <c r="A36" s="108">
        <v>5.0</v>
      </c>
      <c r="B36" s="113"/>
      <c r="C36" s="112"/>
      <c r="D36" s="79"/>
      <c r="E36" s="79"/>
      <c r="F36" s="2"/>
      <c r="G36" s="112"/>
      <c r="H36" s="79"/>
      <c r="I36" s="79"/>
      <c r="J36" s="2"/>
      <c r="K36" s="113"/>
      <c r="L36" s="111"/>
    </row>
    <row r="37">
      <c r="A37" s="108">
        <v>6.0</v>
      </c>
      <c r="B37" s="113"/>
      <c r="C37" s="112"/>
      <c r="D37" s="79"/>
      <c r="E37" s="79"/>
      <c r="F37" s="2"/>
      <c r="G37" s="112"/>
      <c r="H37" s="79"/>
      <c r="I37" s="79"/>
      <c r="J37" s="2"/>
      <c r="K37" s="113"/>
      <c r="L37" s="111"/>
    </row>
    <row r="38">
      <c r="A38" s="108" t="s">
        <v>298</v>
      </c>
      <c r="B38" s="113"/>
      <c r="C38" s="112"/>
      <c r="D38" s="79"/>
      <c r="E38" s="79"/>
      <c r="F38" s="2"/>
      <c r="G38" s="112"/>
      <c r="H38" s="79"/>
      <c r="I38" s="79"/>
      <c r="J38" s="2"/>
      <c r="K38" s="113"/>
      <c r="L38" s="111"/>
    </row>
    <row r="41">
      <c r="A41" s="101">
        <v>2.0</v>
      </c>
      <c r="B41" s="102" t="s">
        <v>279</v>
      </c>
      <c r="C41" s="109" t="s">
        <v>308</v>
      </c>
      <c r="D41" s="79"/>
      <c r="E41" s="79"/>
      <c r="F41" s="2"/>
      <c r="G41" s="102" t="s">
        <v>281</v>
      </c>
      <c r="H41" s="79"/>
      <c r="I41" s="79"/>
      <c r="J41" s="2"/>
      <c r="K41" s="94" t="s">
        <v>341</v>
      </c>
      <c r="L41" s="104"/>
    </row>
    <row r="42">
      <c r="A42" s="105" t="s">
        <v>10</v>
      </c>
      <c r="B42" s="106" t="s">
        <v>283</v>
      </c>
      <c r="C42" s="102" t="s">
        <v>284</v>
      </c>
      <c r="D42" s="79"/>
      <c r="E42" s="79"/>
      <c r="F42" s="2"/>
      <c r="G42" s="102" t="s">
        <v>86</v>
      </c>
      <c r="H42" s="79"/>
      <c r="I42" s="79"/>
      <c r="J42" s="2"/>
      <c r="K42" s="106" t="s">
        <v>285</v>
      </c>
      <c r="L42" s="107"/>
    </row>
    <row r="43">
      <c r="A43" s="108">
        <v>1.0</v>
      </c>
      <c r="B43" s="94" t="s">
        <v>342</v>
      </c>
      <c r="C43" s="109" t="s">
        <v>311</v>
      </c>
      <c r="D43" s="79"/>
      <c r="E43" s="79"/>
      <c r="F43" s="2"/>
      <c r="G43" s="109" t="s">
        <v>312</v>
      </c>
      <c r="H43" s="79"/>
      <c r="I43" s="79"/>
      <c r="J43" s="2"/>
      <c r="K43" s="94" t="s">
        <v>289</v>
      </c>
      <c r="L43" s="111"/>
    </row>
    <row r="44">
      <c r="A44" s="108">
        <v>2.0</v>
      </c>
      <c r="B44" s="94" t="s">
        <v>286</v>
      </c>
      <c r="C44" s="109" t="s">
        <v>343</v>
      </c>
      <c r="D44" s="79"/>
      <c r="E44" s="79"/>
      <c r="F44" s="2"/>
      <c r="G44" s="109" t="s">
        <v>344</v>
      </c>
      <c r="H44" s="79"/>
      <c r="I44" s="79"/>
      <c r="J44" s="2"/>
      <c r="K44" s="94" t="s">
        <v>316</v>
      </c>
      <c r="L44" s="111"/>
    </row>
    <row r="45">
      <c r="A45" s="108">
        <v>3.0</v>
      </c>
      <c r="B45" s="94" t="s">
        <v>303</v>
      </c>
      <c r="C45" s="109" t="s">
        <v>345</v>
      </c>
      <c r="D45" s="79"/>
      <c r="E45" s="79"/>
      <c r="F45" s="2"/>
      <c r="G45" s="109" t="s">
        <v>346</v>
      </c>
      <c r="H45" s="79"/>
      <c r="I45" s="79"/>
      <c r="J45" s="2"/>
      <c r="K45" s="94" t="s">
        <v>316</v>
      </c>
      <c r="L45" s="111"/>
    </row>
    <row r="46">
      <c r="A46" s="108">
        <v>4.0</v>
      </c>
      <c r="B46" s="94" t="s">
        <v>220</v>
      </c>
      <c r="C46" s="109" t="s">
        <v>320</v>
      </c>
      <c r="D46" s="79"/>
      <c r="E46" s="79"/>
      <c r="F46" s="2"/>
      <c r="G46" s="112"/>
      <c r="H46" s="79"/>
      <c r="I46" s="79"/>
      <c r="J46" s="2"/>
      <c r="K46" s="113"/>
      <c r="L46" s="111"/>
    </row>
    <row r="47">
      <c r="A47" s="108">
        <v>5.0</v>
      </c>
      <c r="B47" s="94" t="s">
        <v>347</v>
      </c>
      <c r="C47" s="109" t="s">
        <v>322</v>
      </c>
      <c r="D47" s="79"/>
      <c r="E47" s="79"/>
      <c r="F47" s="2"/>
      <c r="G47" s="112"/>
      <c r="H47" s="79"/>
      <c r="I47" s="79"/>
      <c r="J47" s="2"/>
      <c r="K47" s="113"/>
      <c r="L47" s="111"/>
    </row>
    <row r="48">
      <c r="A48" s="108">
        <v>6.0</v>
      </c>
      <c r="B48" s="94" t="s">
        <v>348</v>
      </c>
      <c r="C48" s="109" t="s">
        <v>324</v>
      </c>
      <c r="D48" s="79"/>
      <c r="E48" s="79"/>
      <c r="F48" s="2"/>
      <c r="G48" s="112"/>
      <c r="H48" s="79"/>
      <c r="I48" s="79"/>
      <c r="J48" s="2"/>
      <c r="K48" s="113"/>
      <c r="L48" s="111"/>
    </row>
    <row r="49">
      <c r="A49" s="108" t="s">
        <v>298</v>
      </c>
      <c r="B49" s="113"/>
      <c r="C49" s="112"/>
      <c r="D49" s="79"/>
      <c r="E49" s="79"/>
      <c r="F49" s="2"/>
      <c r="G49" s="112"/>
      <c r="H49" s="79"/>
      <c r="I49" s="79"/>
      <c r="J49" s="2"/>
      <c r="K49" s="113"/>
      <c r="L49" s="111"/>
    </row>
  </sheetData>
  <mergeCells count="77">
    <mergeCell ref="C30:F30"/>
    <mergeCell ref="C31:F31"/>
    <mergeCell ref="C32:F32"/>
    <mergeCell ref="C33:F33"/>
    <mergeCell ref="C34:F34"/>
    <mergeCell ref="C35:F35"/>
    <mergeCell ref="C36:F36"/>
    <mergeCell ref="C46:F46"/>
    <mergeCell ref="C47:F47"/>
    <mergeCell ref="C48:F48"/>
    <mergeCell ref="C49:F49"/>
    <mergeCell ref="C37:F37"/>
    <mergeCell ref="C38:F38"/>
    <mergeCell ref="C41:F41"/>
    <mergeCell ref="C42:F42"/>
    <mergeCell ref="C43:F43"/>
    <mergeCell ref="C44:F44"/>
    <mergeCell ref="C45:F45"/>
    <mergeCell ref="G47:J47"/>
    <mergeCell ref="G48:J48"/>
    <mergeCell ref="G49:J49"/>
    <mergeCell ref="G38:J38"/>
    <mergeCell ref="G41:J41"/>
    <mergeCell ref="G42:J42"/>
    <mergeCell ref="G43:J43"/>
    <mergeCell ref="G44:J44"/>
    <mergeCell ref="G45:J45"/>
    <mergeCell ref="G46:J46"/>
    <mergeCell ref="A1:K1"/>
    <mergeCell ref="B2:K2"/>
    <mergeCell ref="B3:K3"/>
    <mergeCell ref="B4:K4"/>
    <mergeCell ref="B5:K5"/>
    <mergeCell ref="B6:K6"/>
    <mergeCell ref="A7:K7"/>
    <mergeCell ref="C9:F9"/>
    <mergeCell ref="G9:J9"/>
    <mergeCell ref="C10:F10"/>
    <mergeCell ref="G10:J10"/>
    <mergeCell ref="C11:F11"/>
    <mergeCell ref="G11:J11"/>
    <mergeCell ref="G12:J12"/>
    <mergeCell ref="C12:F12"/>
    <mergeCell ref="C13:F13"/>
    <mergeCell ref="C14:F14"/>
    <mergeCell ref="C15:F15"/>
    <mergeCell ref="C16:F16"/>
    <mergeCell ref="C17:F17"/>
    <mergeCell ref="C19:F19"/>
    <mergeCell ref="G13:J13"/>
    <mergeCell ref="G14:J14"/>
    <mergeCell ref="G15:J15"/>
    <mergeCell ref="G16:J16"/>
    <mergeCell ref="G17:J17"/>
    <mergeCell ref="G19:J19"/>
    <mergeCell ref="G20:J20"/>
    <mergeCell ref="C20:F20"/>
    <mergeCell ref="C21:F21"/>
    <mergeCell ref="C22:F22"/>
    <mergeCell ref="C23:F23"/>
    <mergeCell ref="C24:F24"/>
    <mergeCell ref="C25:F25"/>
    <mergeCell ref="C26:F26"/>
    <mergeCell ref="G21:J21"/>
    <mergeCell ref="G22:J22"/>
    <mergeCell ref="G23:J23"/>
    <mergeCell ref="G24:J24"/>
    <mergeCell ref="G25:J25"/>
    <mergeCell ref="G26:J26"/>
    <mergeCell ref="G30:J30"/>
    <mergeCell ref="G31:J31"/>
    <mergeCell ref="G32:J32"/>
    <mergeCell ref="G33:J33"/>
    <mergeCell ref="G34:J34"/>
    <mergeCell ref="G35:J35"/>
    <mergeCell ref="G36:J36"/>
    <mergeCell ref="G37:J3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4.0"/>
    <col customWidth="1" min="3" max="3" width="30.5"/>
    <col customWidth="1" min="4" max="9" width="3.88"/>
    <col customWidth="1" min="10" max="10" width="5.25"/>
    <col customWidth="1" min="11" max="23" width="3.88"/>
    <col customWidth="1" min="24" max="24" width="17.0"/>
    <col customWidth="1" min="25" max="27" width="30.38"/>
  </cols>
  <sheetData>
    <row r="1">
      <c r="A1" s="7" t="s">
        <v>349</v>
      </c>
      <c r="Z1" s="7"/>
      <c r="AA1" s="7"/>
    </row>
    <row r="2">
      <c r="A2" s="7" t="s">
        <v>350</v>
      </c>
      <c r="Z2" s="7"/>
      <c r="AA2" s="7"/>
    </row>
    <row r="3">
      <c r="A3" s="118" t="s">
        <v>10</v>
      </c>
      <c r="B3" s="119" t="s">
        <v>279</v>
      </c>
      <c r="C3" s="120"/>
      <c r="D3" s="120"/>
      <c r="E3" s="121"/>
      <c r="F3" s="119" t="s">
        <v>281</v>
      </c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1"/>
      <c r="X3" s="119" t="s">
        <v>86</v>
      </c>
      <c r="Y3" s="122"/>
      <c r="Z3" s="123"/>
      <c r="AA3" s="123"/>
    </row>
    <row r="4" ht="48.75" customHeight="1">
      <c r="A4" s="124">
        <v>1.0</v>
      </c>
      <c r="B4" s="125" t="s">
        <v>280</v>
      </c>
      <c r="C4" s="79"/>
      <c r="D4" s="79"/>
      <c r="E4" s="2"/>
      <c r="F4" s="126" t="s">
        <v>351</v>
      </c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2"/>
      <c r="X4" s="127" t="s">
        <v>352</v>
      </c>
      <c r="Y4" s="122"/>
      <c r="Z4" s="128"/>
      <c r="AA4" s="128"/>
    </row>
    <row r="5" ht="48.75" customHeight="1">
      <c r="A5" s="124">
        <f t="shared" ref="A5:A28" si="1">A4+1</f>
        <v>2</v>
      </c>
      <c r="B5" s="125" t="s">
        <v>301</v>
      </c>
      <c r="C5" s="79"/>
      <c r="D5" s="79"/>
      <c r="E5" s="2"/>
      <c r="F5" s="129" t="s">
        <v>353</v>
      </c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2"/>
      <c r="X5" s="127" t="s">
        <v>354</v>
      </c>
      <c r="Y5" s="122"/>
      <c r="Z5" s="128"/>
      <c r="AA5" s="128"/>
    </row>
    <row r="6" ht="48.75" customHeight="1">
      <c r="A6" s="124">
        <f t="shared" si="1"/>
        <v>3</v>
      </c>
      <c r="B6" s="127" t="s">
        <v>308</v>
      </c>
      <c r="C6" s="120"/>
      <c r="D6" s="120"/>
      <c r="E6" s="122"/>
      <c r="F6" s="129" t="s">
        <v>355</v>
      </c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2"/>
      <c r="X6" s="127" t="s">
        <v>356</v>
      </c>
      <c r="Y6" s="122"/>
      <c r="Z6" s="128"/>
      <c r="AA6" s="128"/>
    </row>
    <row r="7" ht="48.75" customHeight="1">
      <c r="A7" s="124">
        <f t="shared" si="1"/>
        <v>4</v>
      </c>
      <c r="B7" s="127" t="s">
        <v>357</v>
      </c>
      <c r="C7" s="120"/>
      <c r="D7" s="120"/>
      <c r="E7" s="122"/>
      <c r="F7" s="126" t="s">
        <v>358</v>
      </c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2"/>
      <c r="X7" s="127" t="s">
        <v>359</v>
      </c>
      <c r="Y7" s="122"/>
      <c r="Z7" s="128"/>
      <c r="AA7" s="128"/>
    </row>
    <row r="8" ht="48.75" customHeight="1">
      <c r="A8" s="124">
        <f t="shared" si="1"/>
        <v>5</v>
      </c>
      <c r="B8" s="127"/>
      <c r="C8" s="120"/>
      <c r="D8" s="120"/>
      <c r="E8" s="122"/>
      <c r="F8" s="127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2"/>
      <c r="X8" s="130"/>
      <c r="Y8" s="122"/>
      <c r="Z8" s="128"/>
      <c r="AA8" s="128"/>
    </row>
    <row r="9" ht="48.75" customHeight="1">
      <c r="A9" s="124">
        <f t="shared" si="1"/>
        <v>6</v>
      </c>
      <c r="B9" s="127"/>
      <c r="C9" s="120"/>
      <c r="D9" s="120"/>
      <c r="E9" s="122"/>
      <c r="F9" s="127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2"/>
      <c r="X9" s="130"/>
      <c r="Y9" s="122"/>
      <c r="Z9" s="128"/>
      <c r="AA9" s="128"/>
    </row>
    <row r="10" ht="48.75" customHeight="1">
      <c r="A10" s="124">
        <f t="shared" si="1"/>
        <v>7</v>
      </c>
      <c r="B10" s="131"/>
      <c r="C10" s="120"/>
      <c r="D10" s="120"/>
      <c r="E10" s="122"/>
      <c r="F10" s="132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2"/>
      <c r="X10" s="131"/>
      <c r="Y10" s="122"/>
      <c r="Z10" s="128"/>
      <c r="AA10" s="128"/>
    </row>
    <row r="11" ht="48.75" customHeight="1">
      <c r="A11" s="124">
        <f t="shared" si="1"/>
        <v>8</v>
      </c>
      <c r="B11" s="131"/>
      <c r="C11" s="120"/>
      <c r="D11" s="120"/>
      <c r="E11" s="122"/>
      <c r="F11" s="132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2"/>
      <c r="X11" s="131"/>
      <c r="Y11" s="122"/>
      <c r="Z11" s="128"/>
      <c r="AA11" s="128"/>
    </row>
    <row r="12" ht="30.0" customHeight="1">
      <c r="A12" s="124">
        <f t="shared" si="1"/>
        <v>9</v>
      </c>
      <c r="B12" s="131"/>
      <c r="C12" s="120"/>
      <c r="D12" s="120"/>
      <c r="E12" s="122"/>
      <c r="F12" s="132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2"/>
      <c r="X12" s="131"/>
      <c r="Y12" s="122"/>
      <c r="Z12" s="128"/>
      <c r="AA12" s="128"/>
    </row>
    <row r="13" ht="30.0" customHeight="1">
      <c r="A13" s="124">
        <f t="shared" si="1"/>
        <v>10</v>
      </c>
      <c r="B13" s="131"/>
      <c r="C13" s="120"/>
      <c r="D13" s="120"/>
      <c r="E13" s="122"/>
      <c r="F13" s="132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2"/>
      <c r="X13" s="131"/>
      <c r="Y13" s="122"/>
      <c r="Z13" s="128"/>
      <c r="AA13" s="128"/>
    </row>
    <row r="14" ht="30.0" customHeight="1">
      <c r="A14" s="124">
        <f t="shared" si="1"/>
        <v>11</v>
      </c>
      <c r="B14" s="131"/>
      <c r="C14" s="120"/>
      <c r="D14" s="120"/>
      <c r="E14" s="122"/>
      <c r="F14" s="132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2"/>
      <c r="X14" s="131"/>
      <c r="Y14" s="122"/>
      <c r="Z14" s="128"/>
      <c r="AA14" s="128"/>
    </row>
    <row r="15" ht="30.0" customHeight="1">
      <c r="A15" s="124">
        <f t="shared" si="1"/>
        <v>12</v>
      </c>
      <c r="B15" s="131"/>
      <c r="C15" s="120"/>
      <c r="D15" s="120"/>
      <c r="E15" s="122"/>
      <c r="F15" s="132"/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2"/>
      <c r="X15" s="131"/>
      <c r="Y15" s="122"/>
      <c r="Z15" s="128"/>
      <c r="AA15" s="128"/>
    </row>
    <row r="16" ht="30.0" customHeight="1">
      <c r="A16" s="124">
        <f t="shared" si="1"/>
        <v>13</v>
      </c>
      <c r="B16" s="131"/>
      <c r="C16" s="120"/>
      <c r="D16" s="120"/>
      <c r="E16" s="122"/>
      <c r="F16" s="132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2"/>
      <c r="X16" s="131"/>
      <c r="Y16" s="122"/>
      <c r="Z16" s="128"/>
      <c r="AA16" s="128"/>
    </row>
    <row r="17" ht="30.0" customHeight="1">
      <c r="A17" s="124">
        <f t="shared" si="1"/>
        <v>14</v>
      </c>
      <c r="B17" s="131"/>
      <c r="C17" s="120"/>
      <c r="D17" s="120"/>
      <c r="E17" s="122"/>
      <c r="F17" s="132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2"/>
      <c r="X17" s="131"/>
      <c r="Y17" s="122"/>
      <c r="Z17" s="128"/>
      <c r="AA17" s="128"/>
    </row>
    <row r="18" ht="30.0" customHeight="1">
      <c r="A18" s="124">
        <f t="shared" si="1"/>
        <v>15</v>
      </c>
      <c r="B18" s="131"/>
      <c r="C18" s="120"/>
      <c r="D18" s="120"/>
      <c r="E18" s="122"/>
      <c r="F18" s="132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2"/>
      <c r="X18" s="131"/>
      <c r="Y18" s="122"/>
      <c r="Z18" s="128"/>
      <c r="AA18" s="128"/>
    </row>
    <row r="19" ht="30.0" customHeight="1">
      <c r="A19" s="124">
        <f t="shared" si="1"/>
        <v>16</v>
      </c>
      <c r="B19" s="131"/>
      <c r="C19" s="120"/>
      <c r="D19" s="120"/>
      <c r="E19" s="122"/>
      <c r="F19" s="132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2"/>
      <c r="X19" s="131"/>
      <c r="Y19" s="122"/>
      <c r="Z19" s="128"/>
      <c r="AA19" s="128"/>
    </row>
    <row r="20" ht="30.0" customHeight="1">
      <c r="A20" s="124">
        <f t="shared" si="1"/>
        <v>17</v>
      </c>
      <c r="B20" s="131"/>
      <c r="C20" s="120"/>
      <c r="D20" s="120"/>
      <c r="E20" s="122"/>
      <c r="F20" s="132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2"/>
      <c r="X20" s="131"/>
      <c r="Y20" s="122"/>
      <c r="Z20" s="128"/>
      <c r="AA20" s="128"/>
    </row>
    <row r="21" ht="30.0" customHeight="1">
      <c r="A21" s="124">
        <f t="shared" si="1"/>
        <v>18</v>
      </c>
      <c r="B21" s="131"/>
      <c r="C21" s="120"/>
      <c r="D21" s="120"/>
      <c r="E21" s="122"/>
      <c r="F21" s="132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2"/>
      <c r="X21" s="131"/>
      <c r="Y21" s="122"/>
      <c r="Z21" s="128"/>
      <c r="AA21" s="128"/>
    </row>
    <row r="22" ht="30.0" customHeight="1">
      <c r="A22" s="124">
        <f t="shared" si="1"/>
        <v>19</v>
      </c>
      <c r="B22" s="131"/>
      <c r="C22" s="120"/>
      <c r="D22" s="120"/>
      <c r="E22" s="122"/>
      <c r="F22" s="132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2"/>
      <c r="X22" s="131"/>
      <c r="Y22" s="122"/>
      <c r="Z22" s="128"/>
      <c r="AA22" s="128"/>
    </row>
    <row r="23" ht="30.0" customHeight="1">
      <c r="A23" s="124">
        <f t="shared" si="1"/>
        <v>20</v>
      </c>
      <c r="B23" s="131"/>
      <c r="C23" s="120"/>
      <c r="D23" s="120"/>
      <c r="E23" s="122"/>
      <c r="F23" s="132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2"/>
      <c r="X23" s="131"/>
      <c r="Y23" s="122"/>
      <c r="Z23" s="128"/>
      <c r="AA23" s="128"/>
    </row>
    <row r="24" ht="30.0" customHeight="1">
      <c r="A24" s="124">
        <f t="shared" si="1"/>
        <v>21</v>
      </c>
      <c r="B24" s="131"/>
      <c r="C24" s="120"/>
      <c r="D24" s="120"/>
      <c r="E24" s="122"/>
      <c r="F24" s="132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2"/>
      <c r="X24" s="131"/>
      <c r="Y24" s="122"/>
      <c r="Z24" s="128"/>
      <c r="AA24" s="128"/>
    </row>
    <row r="25" ht="30.0" customHeight="1">
      <c r="A25" s="124">
        <f t="shared" si="1"/>
        <v>22</v>
      </c>
      <c r="B25" s="131"/>
      <c r="C25" s="120"/>
      <c r="D25" s="120"/>
      <c r="E25" s="122"/>
      <c r="F25" s="132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2"/>
      <c r="X25" s="131"/>
      <c r="Y25" s="122"/>
      <c r="Z25" s="128"/>
      <c r="AA25" s="128"/>
    </row>
    <row r="26" ht="30.0" customHeight="1">
      <c r="A26" s="124">
        <f t="shared" si="1"/>
        <v>23</v>
      </c>
      <c r="B26" s="131"/>
      <c r="C26" s="120"/>
      <c r="D26" s="120"/>
      <c r="E26" s="122"/>
      <c r="F26" s="132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2"/>
      <c r="X26" s="131"/>
      <c r="Y26" s="122"/>
      <c r="Z26" s="128"/>
      <c r="AA26" s="128"/>
    </row>
    <row r="27" ht="30.0" customHeight="1">
      <c r="A27" s="124">
        <f t="shared" si="1"/>
        <v>24</v>
      </c>
      <c r="B27" s="131"/>
      <c r="C27" s="120"/>
      <c r="D27" s="120"/>
      <c r="E27" s="122"/>
      <c r="F27" s="132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2"/>
      <c r="X27" s="131"/>
      <c r="Y27" s="122"/>
      <c r="Z27" s="128"/>
      <c r="AA27" s="128"/>
    </row>
    <row r="28" ht="30.0" customHeight="1">
      <c r="A28" s="124">
        <f t="shared" si="1"/>
        <v>25</v>
      </c>
      <c r="B28" s="131"/>
      <c r="C28" s="120"/>
      <c r="D28" s="120"/>
      <c r="E28" s="122"/>
      <c r="F28" s="132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2"/>
      <c r="X28" s="131"/>
      <c r="Y28" s="122"/>
      <c r="Z28" s="128"/>
      <c r="AA28" s="128"/>
    </row>
    <row r="29">
      <c r="A29" s="7" t="s">
        <v>360</v>
      </c>
      <c r="Z29" s="7"/>
      <c r="AA29" s="7"/>
    </row>
    <row r="30" ht="28.5" customHeight="1"/>
    <row r="31" ht="45.75" customHeight="1">
      <c r="A31" s="101">
        <v>1.0</v>
      </c>
      <c r="B31" s="133" t="s">
        <v>279</v>
      </c>
      <c r="C31" s="103" t="s">
        <v>280</v>
      </c>
      <c r="D31" s="79"/>
      <c r="E31" s="79"/>
      <c r="F31" s="2"/>
      <c r="G31" s="133" t="s">
        <v>281</v>
      </c>
      <c r="H31" s="79"/>
      <c r="I31" s="79"/>
      <c r="J31" s="2"/>
      <c r="K31" s="109" t="s">
        <v>282</v>
      </c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2"/>
      <c r="X31" s="134" t="s">
        <v>361</v>
      </c>
      <c r="Y31" s="135"/>
      <c r="Z31" s="136"/>
      <c r="AA31" s="136"/>
    </row>
    <row r="32">
      <c r="A32" s="105" t="s">
        <v>10</v>
      </c>
      <c r="B32" s="134" t="s">
        <v>362</v>
      </c>
      <c r="C32" s="133" t="s">
        <v>363</v>
      </c>
      <c r="D32" s="79"/>
      <c r="E32" s="79"/>
      <c r="F32" s="2"/>
      <c r="G32" s="133" t="s">
        <v>364</v>
      </c>
      <c r="H32" s="79"/>
      <c r="I32" s="79"/>
      <c r="J32" s="2"/>
      <c r="K32" s="133" t="s">
        <v>365</v>
      </c>
      <c r="L32" s="79"/>
      <c r="M32" s="79"/>
      <c r="N32" s="2"/>
      <c r="O32" s="133" t="s">
        <v>366</v>
      </c>
      <c r="P32" s="79"/>
      <c r="Q32" s="2"/>
      <c r="R32" s="133" t="s">
        <v>289</v>
      </c>
      <c r="S32" s="2"/>
      <c r="T32" s="133" t="s">
        <v>316</v>
      </c>
      <c r="U32" s="2"/>
      <c r="V32" s="133" t="s">
        <v>367</v>
      </c>
      <c r="W32" s="2"/>
      <c r="X32" s="133" t="s">
        <v>368</v>
      </c>
      <c r="Y32" s="2"/>
      <c r="Z32" s="137"/>
      <c r="AA32" s="137"/>
    </row>
    <row r="33" ht="42.75" customHeight="1">
      <c r="A33" s="108">
        <v>1.0</v>
      </c>
      <c r="B33" s="138" t="s">
        <v>286</v>
      </c>
      <c r="C33" s="125" t="s">
        <v>287</v>
      </c>
      <c r="D33" s="79"/>
      <c r="E33" s="79"/>
      <c r="F33" s="2"/>
      <c r="G33" s="125" t="s">
        <v>369</v>
      </c>
      <c r="H33" s="79"/>
      <c r="I33" s="79"/>
      <c r="J33" s="2"/>
      <c r="K33" s="125">
        <v>10.0</v>
      </c>
      <c r="L33" s="79"/>
      <c r="M33" s="79"/>
      <c r="N33" s="2"/>
      <c r="O33" s="125" t="s">
        <v>370</v>
      </c>
      <c r="P33" s="79"/>
      <c r="Q33" s="2"/>
      <c r="R33" s="125" t="s">
        <v>371</v>
      </c>
      <c r="S33" s="2"/>
      <c r="T33" s="139"/>
      <c r="U33" s="2"/>
      <c r="V33" s="139"/>
      <c r="W33" s="2"/>
      <c r="X33" s="139"/>
      <c r="Y33" s="2"/>
      <c r="Z33" s="140"/>
      <c r="AA33" s="140"/>
    </row>
    <row r="34" ht="26.25" customHeight="1">
      <c r="A34" s="108">
        <v>2.0</v>
      </c>
      <c r="B34" s="138" t="s">
        <v>290</v>
      </c>
      <c r="C34" s="125" t="s">
        <v>372</v>
      </c>
      <c r="D34" s="79"/>
      <c r="E34" s="79"/>
      <c r="F34" s="2"/>
      <c r="G34" s="125" t="s">
        <v>373</v>
      </c>
      <c r="H34" s="79"/>
      <c r="I34" s="79"/>
      <c r="J34" s="2"/>
      <c r="K34" s="125">
        <v>12.0</v>
      </c>
      <c r="L34" s="79"/>
      <c r="M34" s="79"/>
      <c r="N34" s="2"/>
      <c r="O34" s="125" t="s">
        <v>370</v>
      </c>
      <c r="P34" s="79"/>
      <c r="Q34" s="2"/>
      <c r="R34" s="139"/>
      <c r="S34" s="2"/>
      <c r="T34" s="139"/>
      <c r="U34" s="2"/>
      <c r="V34" s="125"/>
      <c r="W34" s="2"/>
      <c r="X34" s="139"/>
      <c r="Y34" s="2"/>
      <c r="Z34" s="140"/>
      <c r="AA34" s="140"/>
    </row>
    <row r="35" ht="26.25" customHeight="1">
      <c r="A35" s="108">
        <v>3.0</v>
      </c>
      <c r="B35" s="138" t="s">
        <v>292</v>
      </c>
      <c r="C35" s="125" t="s">
        <v>374</v>
      </c>
      <c r="D35" s="79"/>
      <c r="E35" s="79"/>
      <c r="F35" s="2"/>
      <c r="G35" s="125" t="s">
        <v>373</v>
      </c>
      <c r="H35" s="79"/>
      <c r="I35" s="79"/>
      <c r="J35" s="2"/>
      <c r="K35" s="125">
        <v>15.0</v>
      </c>
      <c r="L35" s="79"/>
      <c r="M35" s="79"/>
      <c r="N35" s="2"/>
      <c r="O35" s="125" t="s">
        <v>370</v>
      </c>
      <c r="P35" s="79"/>
      <c r="Q35" s="2"/>
      <c r="R35" s="139"/>
      <c r="S35" s="2"/>
      <c r="T35" s="139"/>
      <c r="U35" s="2"/>
      <c r="V35" s="139"/>
      <c r="W35" s="2"/>
      <c r="X35" s="139"/>
      <c r="Y35" s="2"/>
      <c r="Z35" s="140"/>
      <c r="AA35" s="140"/>
    </row>
    <row r="36" ht="45.0" customHeight="1">
      <c r="A36" s="108">
        <v>4.0</v>
      </c>
      <c r="B36" s="138" t="s">
        <v>186</v>
      </c>
      <c r="C36" s="125" t="s">
        <v>375</v>
      </c>
      <c r="D36" s="79"/>
      <c r="E36" s="79"/>
      <c r="F36" s="2"/>
      <c r="G36" s="125" t="s">
        <v>373</v>
      </c>
      <c r="H36" s="79"/>
      <c r="I36" s="79"/>
      <c r="J36" s="2"/>
      <c r="K36" s="125">
        <v>8.0</v>
      </c>
      <c r="L36" s="79"/>
      <c r="M36" s="79"/>
      <c r="N36" s="2"/>
      <c r="O36" s="125" t="s">
        <v>370</v>
      </c>
      <c r="P36" s="79"/>
      <c r="Q36" s="2"/>
      <c r="R36" s="139"/>
      <c r="S36" s="2"/>
      <c r="T36" s="139"/>
      <c r="U36" s="2"/>
      <c r="V36" s="125" t="s">
        <v>371</v>
      </c>
      <c r="W36" s="2"/>
      <c r="X36" s="139"/>
      <c r="Y36" s="2"/>
      <c r="Z36" s="140"/>
      <c r="AA36" s="140"/>
    </row>
    <row r="37" ht="26.25" customHeight="1">
      <c r="A37" s="108">
        <v>5.0</v>
      </c>
      <c r="B37" s="91" t="s">
        <v>296</v>
      </c>
      <c r="C37" s="110" t="s">
        <v>297</v>
      </c>
      <c r="D37" s="79"/>
      <c r="E37" s="79"/>
      <c r="F37" s="2"/>
      <c r="G37" s="125" t="s">
        <v>373</v>
      </c>
      <c r="H37" s="79"/>
      <c r="I37" s="79"/>
      <c r="J37" s="2"/>
      <c r="K37" s="125">
        <v>10.0</v>
      </c>
      <c r="L37" s="79"/>
      <c r="M37" s="79"/>
      <c r="N37" s="2"/>
      <c r="O37" s="125" t="s">
        <v>370</v>
      </c>
      <c r="P37" s="79"/>
      <c r="Q37" s="2"/>
      <c r="R37" s="139"/>
      <c r="S37" s="2"/>
      <c r="T37" s="139"/>
      <c r="U37" s="2"/>
      <c r="V37" s="139"/>
      <c r="W37" s="2"/>
      <c r="X37" s="139"/>
      <c r="Y37" s="2"/>
      <c r="Z37" s="140"/>
      <c r="AA37" s="140"/>
    </row>
    <row r="38" ht="26.25" customHeight="1">
      <c r="A38" s="141">
        <v>6.0</v>
      </c>
      <c r="B38" s="91" t="s">
        <v>299</v>
      </c>
      <c r="C38" s="110" t="s">
        <v>300</v>
      </c>
      <c r="D38" s="79"/>
      <c r="E38" s="79"/>
      <c r="F38" s="2"/>
      <c r="G38" s="125" t="s">
        <v>376</v>
      </c>
      <c r="H38" s="79"/>
      <c r="I38" s="79"/>
      <c r="J38" s="2"/>
      <c r="K38" s="125">
        <v>8.0</v>
      </c>
      <c r="L38" s="79"/>
      <c r="M38" s="79"/>
      <c r="N38" s="2"/>
      <c r="O38" s="125" t="s">
        <v>370</v>
      </c>
      <c r="P38" s="79"/>
      <c r="Q38" s="2"/>
      <c r="R38" s="139"/>
      <c r="S38" s="2"/>
      <c r="T38" s="139"/>
      <c r="U38" s="2"/>
      <c r="V38" s="139"/>
      <c r="W38" s="2"/>
      <c r="X38" s="139"/>
      <c r="Y38" s="2"/>
      <c r="Z38" s="140"/>
      <c r="AA38" s="140"/>
    </row>
    <row r="39" ht="46.5" customHeight="1">
      <c r="A39" s="108">
        <v>7.0</v>
      </c>
      <c r="B39" s="94" t="s">
        <v>329</v>
      </c>
      <c r="C39" s="109" t="s">
        <v>337</v>
      </c>
      <c r="D39" s="79"/>
      <c r="E39" s="79"/>
      <c r="F39" s="2"/>
      <c r="G39" s="125" t="s">
        <v>373</v>
      </c>
      <c r="H39" s="79"/>
      <c r="I39" s="79"/>
      <c r="J39" s="2"/>
      <c r="K39" s="125">
        <v>15.0</v>
      </c>
      <c r="L39" s="79"/>
      <c r="M39" s="79"/>
      <c r="N39" s="2"/>
      <c r="O39" s="125" t="s">
        <v>370</v>
      </c>
      <c r="P39" s="79"/>
      <c r="Q39" s="2"/>
      <c r="R39" s="139"/>
      <c r="S39" s="2"/>
      <c r="T39" s="125" t="s">
        <v>371</v>
      </c>
      <c r="U39" s="2"/>
      <c r="V39" s="139"/>
      <c r="W39" s="2"/>
      <c r="X39" s="109" t="s">
        <v>338</v>
      </c>
      <c r="Y39" s="2"/>
      <c r="Z39" s="140"/>
      <c r="AA39" s="140"/>
    </row>
    <row r="40" ht="28.5" customHeight="1">
      <c r="A40" s="142" t="s">
        <v>377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2"/>
      <c r="Z40" s="143"/>
      <c r="AA40" s="143"/>
    </row>
    <row r="41" ht="48.0" customHeight="1"/>
    <row r="42" ht="45.75" customHeight="1">
      <c r="A42" s="101">
        <v>2.0</v>
      </c>
      <c r="B42" s="133" t="s">
        <v>279</v>
      </c>
      <c r="C42" s="103" t="s">
        <v>301</v>
      </c>
      <c r="D42" s="79"/>
      <c r="E42" s="79"/>
      <c r="F42" s="2"/>
      <c r="G42" s="133" t="s">
        <v>281</v>
      </c>
      <c r="H42" s="79"/>
      <c r="I42" s="79"/>
      <c r="J42" s="2"/>
      <c r="K42" s="109" t="s">
        <v>302</v>
      </c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2"/>
      <c r="X42" s="134" t="s">
        <v>361</v>
      </c>
      <c r="Y42" s="135"/>
      <c r="Z42" s="136"/>
      <c r="AA42" s="136"/>
    </row>
    <row r="43">
      <c r="A43" s="105" t="s">
        <v>10</v>
      </c>
      <c r="B43" s="134" t="s">
        <v>362</v>
      </c>
      <c r="C43" s="133" t="s">
        <v>363</v>
      </c>
      <c r="D43" s="79"/>
      <c r="E43" s="79"/>
      <c r="F43" s="2"/>
      <c r="G43" s="133" t="s">
        <v>364</v>
      </c>
      <c r="H43" s="79"/>
      <c r="I43" s="79"/>
      <c r="J43" s="2"/>
      <c r="K43" s="133" t="s">
        <v>365</v>
      </c>
      <c r="L43" s="79"/>
      <c r="M43" s="79"/>
      <c r="N43" s="2"/>
      <c r="O43" s="133" t="s">
        <v>366</v>
      </c>
      <c r="P43" s="79"/>
      <c r="Q43" s="2"/>
      <c r="R43" s="133" t="s">
        <v>289</v>
      </c>
      <c r="S43" s="2"/>
      <c r="T43" s="133" t="s">
        <v>316</v>
      </c>
      <c r="U43" s="2"/>
      <c r="V43" s="133" t="s">
        <v>367</v>
      </c>
      <c r="W43" s="2"/>
      <c r="X43" s="133" t="s">
        <v>368</v>
      </c>
      <c r="Y43" s="2"/>
      <c r="Z43" s="137"/>
      <c r="AA43" s="137"/>
    </row>
    <row r="44" ht="26.25" customHeight="1">
      <c r="A44" s="108">
        <v>1.0</v>
      </c>
      <c r="B44" s="91" t="s">
        <v>303</v>
      </c>
      <c r="C44" s="110" t="s">
        <v>304</v>
      </c>
      <c r="D44" s="79"/>
      <c r="E44" s="79"/>
      <c r="F44" s="2"/>
      <c r="G44" s="125" t="s">
        <v>373</v>
      </c>
      <c r="H44" s="79"/>
      <c r="I44" s="79"/>
      <c r="J44" s="2"/>
      <c r="K44" s="125">
        <v>12.0</v>
      </c>
      <c r="L44" s="79"/>
      <c r="M44" s="79"/>
      <c r="N44" s="2"/>
      <c r="O44" s="125" t="s">
        <v>370</v>
      </c>
      <c r="P44" s="79"/>
      <c r="Q44" s="2"/>
      <c r="R44" s="125" t="s">
        <v>371</v>
      </c>
      <c r="S44" s="2"/>
      <c r="T44" s="139"/>
      <c r="U44" s="2"/>
      <c r="V44" s="139"/>
      <c r="W44" s="2"/>
      <c r="X44" s="110"/>
      <c r="Y44" s="2"/>
      <c r="Z44" s="111"/>
      <c r="AA44" s="111"/>
    </row>
    <row r="45" ht="30.75" customHeight="1">
      <c r="A45" s="108">
        <v>2.0</v>
      </c>
      <c r="B45" s="91" t="s">
        <v>306</v>
      </c>
      <c r="C45" s="109" t="s">
        <v>378</v>
      </c>
      <c r="D45" s="79"/>
      <c r="E45" s="79"/>
      <c r="F45" s="2"/>
      <c r="G45" s="125" t="s">
        <v>373</v>
      </c>
      <c r="H45" s="79"/>
      <c r="I45" s="79"/>
      <c r="J45" s="2"/>
      <c r="K45" s="125">
        <v>15.0</v>
      </c>
      <c r="L45" s="79"/>
      <c r="M45" s="79"/>
      <c r="N45" s="2"/>
      <c r="O45" s="139"/>
      <c r="P45" s="79"/>
      <c r="Q45" s="2"/>
      <c r="R45" s="139"/>
      <c r="S45" s="2"/>
      <c r="T45" s="139"/>
      <c r="U45" s="2"/>
      <c r="V45" s="139"/>
      <c r="W45" s="2"/>
      <c r="X45" s="139"/>
      <c r="Y45" s="2"/>
      <c r="Z45" s="111"/>
      <c r="AA45" s="111"/>
    </row>
    <row r="46" ht="26.25" customHeight="1">
      <c r="A46" s="108" t="s">
        <v>298</v>
      </c>
      <c r="B46" s="144"/>
      <c r="C46" s="139"/>
      <c r="D46" s="79"/>
      <c r="E46" s="79"/>
      <c r="F46" s="2"/>
      <c r="G46" s="139"/>
      <c r="H46" s="79"/>
      <c r="I46" s="79"/>
      <c r="J46" s="2"/>
      <c r="K46" s="139"/>
      <c r="L46" s="79"/>
      <c r="M46" s="79"/>
      <c r="N46" s="2"/>
      <c r="O46" s="139"/>
      <c r="P46" s="79"/>
      <c r="Q46" s="2"/>
      <c r="R46" s="139"/>
      <c r="S46" s="2"/>
      <c r="T46" s="139"/>
      <c r="U46" s="2"/>
      <c r="V46" s="139"/>
      <c r="W46" s="2"/>
      <c r="X46" s="139"/>
      <c r="Y46" s="2"/>
      <c r="Z46" s="111"/>
      <c r="AA46" s="111"/>
    </row>
    <row r="47" ht="28.5" customHeight="1">
      <c r="A47" s="142" t="s">
        <v>377</v>
      </c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2"/>
      <c r="Z47" s="143"/>
      <c r="AA47" s="143"/>
    </row>
    <row r="48" ht="48.0" customHeight="1"/>
    <row r="49" ht="40.5" customHeight="1">
      <c r="A49" s="101">
        <v>3.0</v>
      </c>
      <c r="B49" s="133" t="s">
        <v>279</v>
      </c>
      <c r="C49" s="103" t="s">
        <v>308</v>
      </c>
      <c r="D49" s="79"/>
      <c r="E49" s="79"/>
      <c r="F49" s="2"/>
      <c r="G49" s="133" t="s">
        <v>281</v>
      </c>
      <c r="H49" s="79"/>
      <c r="I49" s="79"/>
      <c r="J49" s="2"/>
      <c r="K49" s="109" t="s">
        <v>309</v>
      </c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2"/>
      <c r="X49" s="134" t="s">
        <v>361</v>
      </c>
      <c r="Y49" s="135"/>
      <c r="Z49" s="145"/>
      <c r="AA49" s="145"/>
    </row>
    <row r="50">
      <c r="A50" s="105" t="s">
        <v>10</v>
      </c>
      <c r="B50" s="134" t="s">
        <v>362</v>
      </c>
      <c r="C50" s="133" t="s">
        <v>363</v>
      </c>
      <c r="D50" s="79"/>
      <c r="E50" s="79"/>
      <c r="F50" s="2"/>
      <c r="G50" s="133" t="s">
        <v>364</v>
      </c>
      <c r="H50" s="79"/>
      <c r="I50" s="79"/>
      <c r="J50" s="2"/>
      <c r="K50" s="133" t="s">
        <v>365</v>
      </c>
      <c r="L50" s="79"/>
      <c r="M50" s="79"/>
      <c r="N50" s="2"/>
      <c r="O50" s="133" t="s">
        <v>366</v>
      </c>
      <c r="P50" s="79"/>
      <c r="Q50" s="2"/>
      <c r="R50" s="133" t="s">
        <v>289</v>
      </c>
      <c r="S50" s="2"/>
      <c r="T50" s="133" t="s">
        <v>316</v>
      </c>
      <c r="U50" s="2"/>
      <c r="V50" s="133" t="s">
        <v>367</v>
      </c>
      <c r="W50" s="2"/>
      <c r="X50" s="133" t="s">
        <v>368</v>
      </c>
      <c r="Y50" s="2"/>
    </row>
    <row r="51">
      <c r="A51" s="108">
        <v>1.0</v>
      </c>
      <c r="B51" s="91" t="s">
        <v>310</v>
      </c>
      <c r="C51" s="109" t="s">
        <v>311</v>
      </c>
      <c r="D51" s="79"/>
      <c r="E51" s="79"/>
      <c r="F51" s="2"/>
      <c r="G51" s="125" t="s">
        <v>369</v>
      </c>
      <c r="H51" s="79"/>
      <c r="I51" s="79"/>
      <c r="J51" s="2"/>
      <c r="K51" s="125">
        <v>15.0</v>
      </c>
      <c r="L51" s="79"/>
      <c r="M51" s="79"/>
      <c r="N51" s="2"/>
      <c r="O51" s="125" t="s">
        <v>370</v>
      </c>
      <c r="P51" s="79"/>
      <c r="Q51" s="2"/>
      <c r="R51" s="125" t="s">
        <v>371</v>
      </c>
      <c r="S51" s="2"/>
      <c r="T51" s="139"/>
      <c r="U51" s="2"/>
      <c r="V51" s="139"/>
      <c r="W51" s="2"/>
      <c r="X51" s="110"/>
      <c r="Y51" s="2"/>
    </row>
    <row r="52">
      <c r="A52" s="108">
        <v>2.0</v>
      </c>
      <c r="B52" s="91" t="s">
        <v>313</v>
      </c>
      <c r="C52" s="109" t="s">
        <v>287</v>
      </c>
      <c r="D52" s="79"/>
      <c r="E52" s="79"/>
      <c r="F52" s="2"/>
      <c r="G52" s="125" t="s">
        <v>369</v>
      </c>
      <c r="H52" s="79"/>
      <c r="I52" s="79"/>
      <c r="J52" s="2"/>
      <c r="K52" s="125">
        <v>10.0</v>
      </c>
      <c r="L52" s="79"/>
      <c r="M52" s="79"/>
      <c r="N52" s="2"/>
      <c r="O52" s="125" t="s">
        <v>370</v>
      </c>
      <c r="P52" s="79"/>
      <c r="Q52" s="2"/>
      <c r="R52" s="139"/>
      <c r="S52" s="2"/>
      <c r="T52" s="125" t="s">
        <v>371</v>
      </c>
      <c r="U52" s="2"/>
      <c r="V52" s="139"/>
      <c r="W52" s="2"/>
      <c r="X52" s="139"/>
      <c r="Y52" s="2"/>
    </row>
    <row r="53">
      <c r="A53" s="108">
        <v>3.0</v>
      </c>
      <c r="B53" s="91" t="s">
        <v>303</v>
      </c>
      <c r="C53" s="110" t="s">
        <v>304</v>
      </c>
      <c r="D53" s="79"/>
      <c r="E53" s="79"/>
      <c r="F53" s="2"/>
      <c r="G53" s="125" t="s">
        <v>373</v>
      </c>
      <c r="H53" s="79"/>
      <c r="I53" s="79"/>
      <c r="J53" s="2"/>
      <c r="K53" s="125">
        <v>12.0</v>
      </c>
      <c r="L53" s="79"/>
      <c r="M53" s="79"/>
      <c r="N53" s="2"/>
      <c r="O53" s="125" t="s">
        <v>370</v>
      </c>
      <c r="P53" s="79"/>
      <c r="Q53" s="2"/>
      <c r="R53" s="139"/>
      <c r="S53" s="2"/>
      <c r="T53" s="125" t="s">
        <v>371</v>
      </c>
      <c r="U53" s="2"/>
      <c r="V53" s="139"/>
      <c r="W53" s="2"/>
      <c r="X53" s="139"/>
      <c r="Y53" s="2"/>
    </row>
    <row r="54">
      <c r="A54" s="108">
        <v>4.0</v>
      </c>
      <c r="B54" s="91" t="s">
        <v>220</v>
      </c>
      <c r="C54" s="109" t="s">
        <v>320</v>
      </c>
      <c r="D54" s="79"/>
      <c r="E54" s="79"/>
      <c r="F54" s="2"/>
      <c r="G54" s="125" t="s">
        <v>373</v>
      </c>
      <c r="H54" s="79"/>
      <c r="I54" s="79"/>
      <c r="J54" s="2"/>
      <c r="K54" s="125">
        <v>20.0</v>
      </c>
      <c r="L54" s="79"/>
      <c r="M54" s="79"/>
      <c r="N54" s="2"/>
      <c r="O54" s="125" t="s">
        <v>370</v>
      </c>
      <c r="P54" s="79"/>
      <c r="Q54" s="2"/>
      <c r="R54" s="139"/>
      <c r="S54" s="2"/>
      <c r="T54" s="139"/>
      <c r="U54" s="2"/>
      <c r="V54" s="139"/>
      <c r="W54" s="2"/>
      <c r="X54" s="139"/>
      <c r="Y54" s="2"/>
    </row>
    <row r="55">
      <c r="A55" s="108">
        <v>5.0</v>
      </c>
      <c r="B55" s="91" t="s">
        <v>321</v>
      </c>
      <c r="C55" s="109" t="s">
        <v>322</v>
      </c>
      <c r="D55" s="79"/>
      <c r="E55" s="79"/>
      <c r="F55" s="2"/>
      <c r="G55" s="125" t="s">
        <v>373</v>
      </c>
      <c r="H55" s="79"/>
      <c r="I55" s="79"/>
      <c r="J55" s="2"/>
      <c r="K55" s="125">
        <v>12.0</v>
      </c>
      <c r="L55" s="79"/>
      <c r="M55" s="79"/>
      <c r="N55" s="2"/>
      <c r="O55" s="139"/>
      <c r="P55" s="79"/>
      <c r="Q55" s="2"/>
      <c r="R55" s="139"/>
      <c r="S55" s="2"/>
      <c r="T55" s="139"/>
      <c r="U55" s="2"/>
      <c r="V55" s="139"/>
      <c r="W55" s="2"/>
      <c r="X55" s="139"/>
      <c r="Y55" s="2"/>
    </row>
    <row r="56" ht="27.0" customHeight="1">
      <c r="A56" s="141">
        <v>6.0</v>
      </c>
      <c r="B56" s="91" t="s">
        <v>323</v>
      </c>
      <c r="C56" s="109" t="s">
        <v>324</v>
      </c>
      <c r="D56" s="79"/>
      <c r="E56" s="79"/>
      <c r="F56" s="2"/>
      <c r="G56" s="125" t="s">
        <v>376</v>
      </c>
      <c r="H56" s="79"/>
      <c r="I56" s="79"/>
      <c r="J56" s="2"/>
      <c r="K56" s="125">
        <v>8.0</v>
      </c>
      <c r="L56" s="79"/>
      <c r="M56" s="79"/>
      <c r="N56" s="2"/>
      <c r="O56" s="139"/>
      <c r="P56" s="79"/>
      <c r="Q56" s="2"/>
      <c r="R56" s="139"/>
      <c r="S56" s="2"/>
      <c r="T56" s="139"/>
      <c r="U56" s="2"/>
      <c r="V56" s="139"/>
      <c r="W56" s="2"/>
      <c r="X56" s="139"/>
      <c r="Y56" s="2"/>
    </row>
    <row r="57" ht="29.25" customHeight="1">
      <c r="A57" s="108" t="s">
        <v>298</v>
      </c>
      <c r="B57" s="144"/>
      <c r="C57" s="139"/>
      <c r="D57" s="79"/>
      <c r="E57" s="79"/>
      <c r="F57" s="2"/>
      <c r="G57" s="139"/>
      <c r="H57" s="79"/>
      <c r="I57" s="79"/>
      <c r="J57" s="2"/>
      <c r="K57" s="139"/>
      <c r="L57" s="79"/>
      <c r="M57" s="79"/>
      <c r="N57" s="2"/>
      <c r="O57" s="139"/>
      <c r="P57" s="79"/>
      <c r="Q57" s="2"/>
      <c r="R57" s="139"/>
      <c r="S57" s="2"/>
      <c r="T57" s="139"/>
      <c r="U57" s="2"/>
      <c r="V57" s="139"/>
      <c r="W57" s="2"/>
      <c r="X57" s="139"/>
      <c r="Y57" s="2"/>
    </row>
    <row r="58">
      <c r="A58" s="142" t="s">
        <v>377</v>
      </c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2"/>
    </row>
    <row r="59" ht="43.5" customHeight="1"/>
    <row r="60">
      <c r="A60" s="101">
        <v>4.0</v>
      </c>
      <c r="B60" s="133" t="s">
        <v>279</v>
      </c>
      <c r="C60" s="110" t="s">
        <v>327</v>
      </c>
      <c r="D60" s="79"/>
      <c r="E60" s="79"/>
      <c r="F60" s="2"/>
      <c r="G60" s="133" t="s">
        <v>281</v>
      </c>
      <c r="H60" s="79"/>
      <c r="I60" s="79"/>
      <c r="J60" s="2"/>
      <c r="K60" s="109" t="s">
        <v>328</v>
      </c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2"/>
      <c r="X60" s="134" t="s">
        <v>361</v>
      </c>
      <c r="Y60" s="135"/>
    </row>
    <row r="61">
      <c r="A61" s="105" t="s">
        <v>10</v>
      </c>
      <c r="B61" s="134" t="s">
        <v>362</v>
      </c>
      <c r="C61" s="133" t="s">
        <v>363</v>
      </c>
      <c r="D61" s="79"/>
      <c r="E61" s="79"/>
      <c r="F61" s="2"/>
      <c r="G61" s="133" t="s">
        <v>364</v>
      </c>
      <c r="H61" s="79"/>
      <c r="I61" s="79"/>
      <c r="J61" s="2"/>
      <c r="K61" s="133" t="s">
        <v>365</v>
      </c>
      <c r="L61" s="79"/>
      <c r="M61" s="79"/>
      <c r="N61" s="2"/>
      <c r="O61" s="133" t="s">
        <v>366</v>
      </c>
      <c r="P61" s="79"/>
      <c r="Q61" s="2"/>
      <c r="R61" s="133" t="s">
        <v>289</v>
      </c>
      <c r="S61" s="2"/>
      <c r="T61" s="133" t="s">
        <v>316</v>
      </c>
      <c r="U61" s="2"/>
      <c r="V61" s="133" t="s">
        <v>367</v>
      </c>
      <c r="W61" s="2"/>
      <c r="X61" s="133" t="s">
        <v>368</v>
      </c>
      <c r="Y61" s="2"/>
    </row>
    <row r="62" ht="46.5" customHeight="1">
      <c r="A62" s="108">
        <v>1.0</v>
      </c>
      <c r="B62" s="91" t="s">
        <v>329</v>
      </c>
      <c r="C62" s="125" t="s">
        <v>379</v>
      </c>
      <c r="D62" s="79"/>
      <c r="E62" s="79"/>
      <c r="F62" s="2"/>
      <c r="G62" s="125" t="s">
        <v>373</v>
      </c>
      <c r="H62" s="79"/>
      <c r="I62" s="79"/>
      <c r="J62" s="2"/>
      <c r="K62" s="125">
        <v>12.0</v>
      </c>
      <c r="L62" s="79"/>
      <c r="M62" s="79"/>
      <c r="N62" s="2"/>
      <c r="O62" s="125" t="s">
        <v>370</v>
      </c>
      <c r="P62" s="79"/>
      <c r="Q62" s="2"/>
      <c r="R62" s="125" t="s">
        <v>371</v>
      </c>
      <c r="S62" s="2"/>
      <c r="T62" s="139"/>
      <c r="U62" s="2"/>
      <c r="V62" s="139"/>
      <c r="W62" s="2"/>
      <c r="X62" s="110"/>
      <c r="Y62" s="2"/>
    </row>
    <row r="63" ht="42.75" customHeight="1">
      <c r="A63" s="108">
        <v>2.0</v>
      </c>
      <c r="B63" s="91" t="s">
        <v>23</v>
      </c>
      <c r="C63" s="125" t="s">
        <v>380</v>
      </c>
      <c r="D63" s="79"/>
      <c r="E63" s="79"/>
      <c r="F63" s="2"/>
      <c r="G63" s="125" t="s">
        <v>373</v>
      </c>
      <c r="H63" s="79"/>
      <c r="I63" s="79"/>
      <c r="J63" s="2"/>
      <c r="K63" s="125">
        <v>20.0</v>
      </c>
      <c r="L63" s="79"/>
      <c r="M63" s="79"/>
      <c r="N63" s="2"/>
      <c r="O63" s="125" t="s">
        <v>370</v>
      </c>
      <c r="P63" s="79"/>
      <c r="Q63" s="2"/>
      <c r="R63" s="139"/>
      <c r="S63" s="2"/>
      <c r="T63" s="139"/>
      <c r="U63" s="2"/>
      <c r="V63" s="139"/>
      <c r="W63" s="2"/>
      <c r="X63" s="139"/>
      <c r="Y63" s="2"/>
    </row>
    <row r="64">
      <c r="A64" s="108">
        <v>3.0</v>
      </c>
      <c r="B64" s="91" t="s">
        <v>296</v>
      </c>
      <c r="C64" s="109" t="s">
        <v>334</v>
      </c>
      <c r="D64" s="79"/>
      <c r="E64" s="79"/>
      <c r="F64" s="2"/>
      <c r="G64" s="125" t="s">
        <v>373</v>
      </c>
      <c r="H64" s="79"/>
      <c r="I64" s="79"/>
      <c r="J64" s="2"/>
      <c r="K64" s="125">
        <v>10.0</v>
      </c>
      <c r="L64" s="79"/>
      <c r="M64" s="79"/>
      <c r="N64" s="2"/>
      <c r="O64" s="125" t="s">
        <v>370</v>
      </c>
      <c r="P64" s="79"/>
      <c r="Q64" s="2"/>
      <c r="R64" s="139"/>
      <c r="S64" s="2"/>
      <c r="T64" s="139"/>
      <c r="U64" s="2"/>
      <c r="V64" s="139"/>
      <c r="W64" s="2"/>
      <c r="X64" s="139"/>
      <c r="Y64" s="2"/>
    </row>
    <row r="65" ht="32.25" customHeight="1">
      <c r="A65" s="108" t="s">
        <v>298</v>
      </c>
      <c r="B65" s="144"/>
      <c r="C65" s="139"/>
      <c r="D65" s="79"/>
      <c r="E65" s="79"/>
      <c r="F65" s="2"/>
      <c r="G65" s="139"/>
      <c r="H65" s="79"/>
      <c r="I65" s="79"/>
      <c r="J65" s="2"/>
      <c r="K65" s="139"/>
      <c r="L65" s="79"/>
      <c r="M65" s="79"/>
      <c r="N65" s="2"/>
      <c r="O65" s="139"/>
      <c r="P65" s="79"/>
      <c r="Q65" s="2"/>
      <c r="R65" s="139"/>
      <c r="S65" s="2"/>
      <c r="T65" s="139"/>
      <c r="U65" s="2"/>
      <c r="V65" s="139"/>
      <c r="W65" s="2"/>
      <c r="X65" s="139"/>
      <c r="Y65" s="2"/>
    </row>
  </sheetData>
  <mergeCells count="296">
    <mergeCell ref="B22:E22"/>
    <mergeCell ref="B23:E23"/>
    <mergeCell ref="B24:E24"/>
    <mergeCell ref="B25:E25"/>
    <mergeCell ref="X23:Y23"/>
    <mergeCell ref="X24:Y24"/>
    <mergeCell ref="X25:Y25"/>
    <mergeCell ref="F22:W22"/>
    <mergeCell ref="F23:W23"/>
    <mergeCell ref="F24:W24"/>
    <mergeCell ref="F25:W25"/>
    <mergeCell ref="B26:E26"/>
    <mergeCell ref="B27:E27"/>
    <mergeCell ref="X26:Y26"/>
    <mergeCell ref="X27:Y27"/>
    <mergeCell ref="X28:Y28"/>
    <mergeCell ref="F26:W26"/>
    <mergeCell ref="F27:W27"/>
    <mergeCell ref="F28:W28"/>
    <mergeCell ref="A29:Y29"/>
    <mergeCell ref="B28:E28"/>
    <mergeCell ref="B19:E19"/>
    <mergeCell ref="B20:E20"/>
    <mergeCell ref="X6:Y6"/>
    <mergeCell ref="X8:Y8"/>
    <mergeCell ref="B12:E12"/>
    <mergeCell ref="B13:E13"/>
    <mergeCell ref="B14:E14"/>
    <mergeCell ref="B15:E15"/>
    <mergeCell ref="B16:E16"/>
    <mergeCell ref="B17:E17"/>
    <mergeCell ref="B18:E18"/>
    <mergeCell ref="X3:Y3"/>
    <mergeCell ref="X4:Y4"/>
    <mergeCell ref="A1:Y1"/>
    <mergeCell ref="A2:Y2"/>
    <mergeCell ref="B3:E3"/>
    <mergeCell ref="F3:W3"/>
    <mergeCell ref="F4:W4"/>
    <mergeCell ref="B4:E4"/>
    <mergeCell ref="X19:Y19"/>
    <mergeCell ref="X20:Y20"/>
    <mergeCell ref="X21:Y21"/>
    <mergeCell ref="X22:Y22"/>
    <mergeCell ref="F19:W19"/>
    <mergeCell ref="F20:W20"/>
    <mergeCell ref="F21:W21"/>
    <mergeCell ref="B21:E21"/>
    <mergeCell ref="X5:Y5"/>
    <mergeCell ref="X7:Y7"/>
    <mergeCell ref="F5:W5"/>
    <mergeCell ref="F6:W6"/>
    <mergeCell ref="F7:W7"/>
    <mergeCell ref="F8:W8"/>
    <mergeCell ref="F13:W13"/>
    <mergeCell ref="F14:W14"/>
    <mergeCell ref="F15:W15"/>
    <mergeCell ref="F16:W16"/>
    <mergeCell ref="F17:W17"/>
    <mergeCell ref="F18:W18"/>
    <mergeCell ref="X9:Y9"/>
    <mergeCell ref="X10:Y10"/>
    <mergeCell ref="X11:Y11"/>
    <mergeCell ref="F9:W9"/>
    <mergeCell ref="F10:W10"/>
    <mergeCell ref="F11:W11"/>
    <mergeCell ref="F12:W12"/>
    <mergeCell ref="C31:F31"/>
    <mergeCell ref="C32:F32"/>
    <mergeCell ref="C33:F33"/>
    <mergeCell ref="C34:F34"/>
    <mergeCell ref="C35:F35"/>
    <mergeCell ref="C36:F36"/>
    <mergeCell ref="C37:F37"/>
    <mergeCell ref="B5:E5"/>
    <mergeCell ref="B6:E6"/>
    <mergeCell ref="B7:E7"/>
    <mergeCell ref="B8:E8"/>
    <mergeCell ref="B9:E9"/>
    <mergeCell ref="B10:E10"/>
    <mergeCell ref="B11:E11"/>
    <mergeCell ref="V39:W39"/>
    <mergeCell ref="T39:U39"/>
    <mergeCell ref="R39:S39"/>
    <mergeCell ref="O39:Q39"/>
    <mergeCell ref="K39:N39"/>
    <mergeCell ref="A40:Y40"/>
    <mergeCell ref="C39:F39"/>
    <mergeCell ref="V43:W43"/>
    <mergeCell ref="X43:Y43"/>
    <mergeCell ref="C38:F38"/>
    <mergeCell ref="C43:F43"/>
    <mergeCell ref="C42:F42"/>
    <mergeCell ref="G39:J39"/>
    <mergeCell ref="X39:Y39"/>
    <mergeCell ref="X12:Y12"/>
    <mergeCell ref="X13:Y13"/>
    <mergeCell ref="X14:Y14"/>
    <mergeCell ref="X15:Y15"/>
    <mergeCell ref="X16:Y16"/>
    <mergeCell ref="X17:Y17"/>
    <mergeCell ref="X18:Y18"/>
    <mergeCell ref="V32:W32"/>
    <mergeCell ref="X32:Y32"/>
    <mergeCell ref="G31:J31"/>
    <mergeCell ref="K31:W31"/>
    <mergeCell ref="G32:J32"/>
    <mergeCell ref="K32:N32"/>
    <mergeCell ref="O32:Q32"/>
    <mergeCell ref="R32:S32"/>
    <mergeCell ref="T32:U32"/>
    <mergeCell ref="G33:J33"/>
    <mergeCell ref="K33:N33"/>
    <mergeCell ref="O33:Q33"/>
    <mergeCell ref="R33:S33"/>
    <mergeCell ref="T33:U33"/>
    <mergeCell ref="V33:W33"/>
    <mergeCell ref="X33:Y33"/>
    <mergeCell ref="G34:J34"/>
    <mergeCell ref="K34:N34"/>
    <mergeCell ref="O34:Q34"/>
    <mergeCell ref="R34:S34"/>
    <mergeCell ref="T34:U34"/>
    <mergeCell ref="V34:W34"/>
    <mergeCell ref="X34:Y34"/>
    <mergeCell ref="G35:J35"/>
    <mergeCell ref="K35:N35"/>
    <mergeCell ref="O35:Q35"/>
    <mergeCell ref="R35:S35"/>
    <mergeCell ref="T35:U35"/>
    <mergeCell ref="V35:W35"/>
    <mergeCell ref="X35:Y35"/>
    <mergeCell ref="G36:J36"/>
    <mergeCell ref="K36:N36"/>
    <mergeCell ref="O36:Q36"/>
    <mergeCell ref="R36:S36"/>
    <mergeCell ref="T36:U36"/>
    <mergeCell ref="V36:W36"/>
    <mergeCell ref="X36:Y36"/>
    <mergeCell ref="G37:J37"/>
    <mergeCell ref="K37:N37"/>
    <mergeCell ref="O37:Q37"/>
    <mergeCell ref="R37:S37"/>
    <mergeCell ref="T37:U37"/>
    <mergeCell ref="V37:W37"/>
    <mergeCell ref="X37:Y37"/>
    <mergeCell ref="G38:J38"/>
    <mergeCell ref="K38:N38"/>
    <mergeCell ref="O38:Q38"/>
    <mergeCell ref="R38:S38"/>
    <mergeCell ref="T38:U38"/>
    <mergeCell ref="V38:W38"/>
    <mergeCell ref="X38:Y38"/>
    <mergeCell ref="G49:J49"/>
    <mergeCell ref="K49:W49"/>
    <mergeCell ref="V50:W50"/>
    <mergeCell ref="X50:Y50"/>
    <mergeCell ref="G50:J50"/>
    <mergeCell ref="K50:N50"/>
    <mergeCell ref="O50:Q50"/>
    <mergeCell ref="R50:S50"/>
    <mergeCell ref="T50:U50"/>
    <mergeCell ref="G52:J52"/>
    <mergeCell ref="K52:N52"/>
    <mergeCell ref="O52:Q52"/>
    <mergeCell ref="R52:S52"/>
    <mergeCell ref="T52:U52"/>
    <mergeCell ref="V52:W52"/>
    <mergeCell ref="C49:F49"/>
    <mergeCell ref="C52:F52"/>
    <mergeCell ref="G53:J53"/>
    <mergeCell ref="K53:N53"/>
    <mergeCell ref="O53:Q53"/>
    <mergeCell ref="R53:S53"/>
    <mergeCell ref="T53:U53"/>
    <mergeCell ref="V53:W53"/>
    <mergeCell ref="G63:J63"/>
    <mergeCell ref="K63:N63"/>
    <mergeCell ref="V61:W61"/>
    <mergeCell ref="X61:Y61"/>
    <mergeCell ref="C60:F60"/>
    <mergeCell ref="X62:Y62"/>
    <mergeCell ref="G60:J60"/>
    <mergeCell ref="G61:J61"/>
    <mergeCell ref="G62:J62"/>
    <mergeCell ref="K62:N62"/>
    <mergeCell ref="O62:Q62"/>
    <mergeCell ref="R62:S62"/>
    <mergeCell ref="T62:U62"/>
    <mergeCell ref="V62:W62"/>
    <mergeCell ref="C61:F61"/>
    <mergeCell ref="C62:F62"/>
    <mergeCell ref="O63:Q63"/>
    <mergeCell ref="R63:S63"/>
    <mergeCell ref="T63:U63"/>
    <mergeCell ref="V63:W63"/>
    <mergeCell ref="K65:N65"/>
    <mergeCell ref="O65:Q65"/>
    <mergeCell ref="R65:S65"/>
    <mergeCell ref="T65:U65"/>
    <mergeCell ref="V65:W65"/>
    <mergeCell ref="X65:Y65"/>
    <mergeCell ref="G64:J64"/>
    <mergeCell ref="C64:F64"/>
    <mergeCell ref="C65:F65"/>
    <mergeCell ref="G65:J65"/>
    <mergeCell ref="G42:J42"/>
    <mergeCell ref="G43:J43"/>
    <mergeCell ref="K43:N43"/>
    <mergeCell ref="O43:Q43"/>
    <mergeCell ref="R43:S43"/>
    <mergeCell ref="T43:U43"/>
    <mergeCell ref="G44:J44"/>
    <mergeCell ref="K44:N44"/>
    <mergeCell ref="O44:Q44"/>
    <mergeCell ref="R44:S44"/>
    <mergeCell ref="T44:U44"/>
    <mergeCell ref="V44:W44"/>
    <mergeCell ref="X44:Y44"/>
    <mergeCell ref="C44:F44"/>
    <mergeCell ref="G45:J45"/>
    <mergeCell ref="K45:N45"/>
    <mergeCell ref="O45:Q45"/>
    <mergeCell ref="R45:S45"/>
    <mergeCell ref="T45:U45"/>
    <mergeCell ref="V45:W45"/>
    <mergeCell ref="X45:Y45"/>
    <mergeCell ref="C45:F45"/>
    <mergeCell ref="K42:W42"/>
    <mergeCell ref="C46:F46"/>
    <mergeCell ref="G46:J46"/>
    <mergeCell ref="K46:N46"/>
    <mergeCell ref="O46:Q46"/>
    <mergeCell ref="R46:S46"/>
    <mergeCell ref="T46:U46"/>
    <mergeCell ref="V46:W46"/>
    <mergeCell ref="X46:Y46"/>
    <mergeCell ref="A47:Y47"/>
    <mergeCell ref="G55:J55"/>
    <mergeCell ref="K55:N55"/>
    <mergeCell ref="O55:Q55"/>
    <mergeCell ref="X51:Y51"/>
    <mergeCell ref="X52:Y52"/>
    <mergeCell ref="X63:Y63"/>
    <mergeCell ref="V64:W64"/>
    <mergeCell ref="X64:Y64"/>
    <mergeCell ref="R61:S61"/>
    <mergeCell ref="T61:U61"/>
    <mergeCell ref="K60:W60"/>
    <mergeCell ref="K61:N61"/>
    <mergeCell ref="O61:Q61"/>
    <mergeCell ref="C63:F63"/>
    <mergeCell ref="K64:N64"/>
    <mergeCell ref="O64:Q64"/>
    <mergeCell ref="R64:S64"/>
    <mergeCell ref="T64:U64"/>
    <mergeCell ref="R55:S55"/>
    <mergeCell ref="T55:U55"/>
    <mergeCell ref="O54:Q54"/>
    <mergeCell ref="R54:S54"/>
    <mergeCell ref="T54:U54"/>
    <mergeCell ref="V55:W55"/>
    <mergeCell ref="X55:Y55"/>
    <mergeCell ref="X53:Y53"/>
    <mergeCell ref="V54:W54"/>
    <mergeCell ref="X54:Y54"/>
    <mergeCell ref="O51:Q51"/>
    <mergeCell ref="R51:S51"/>
    <mergeCell ref="T51:U51"/>
    <mergeCell ref="V51:W51"/>
    <mergeCell ref="G56:J56"/>
    <mergeCell ref="K56:N56"/>
    <mergeCell ref="O56:Q56"/>
    <mergeCell ref="R56:S56"/>
    <mergeCell ref="T56:U56"/>
    <mergeCell ref="V56:W56"/>
    <mergeCell ref="X56:Y56"/>
    <mergeCell ref="G57:J57"/>
    <mergeCell ref="O57:Q57"/>
    <mergeCell ref="R57:S57"/>
    <mergeCell ref="T57:U57"/>
    <mergeCell ref="V57:W57"/>
    <mergeCell ref="X57:Y57"/>
    <mergeCell ref="A58:Y58"/>
    <mergeCell ref="G51:J51"/>
    <mergeCell ref="K51:N51"/>
    <mergeCell ref="G54:J54"/>
    <mergeCell ref="K54:N54"/>
    <mergeCell ref="K57:N57"/>
    <mergeCell ref="C50:F50"/>
    <mergeCell ref="C51:F51"/>
    <mergeCell ref="C53:F53"/>
    <mergeCell ref="C54:F54"/>
    <mergeCell ref="C55:F55"/>
    <mergeCell ref="C56:F56"/>
    <mergeCell ref="C57:F57"/>
  </mergeCells>
  <drawing r:id="rId1"/>
</worksheet>
</file>